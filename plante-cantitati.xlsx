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te" sheetId="1" state="visible" r:id="rId1"/>
    <sheet name="Sinteză" sheetId="2" state="visible" r:id="rId2"/>
    <sheet name="Irigare pe zone" sheetId="3" state="visible" r:id="rId3"/>
    <sheet name="Note" sheetId="4" state="visible" r:id="rId4"/>
  </sheets>
  <definedNames>
    <definedName name="_xlnm._FilterDatabase" localSheetId="0" hidden="1">'Plante'!$A$1:$M$66</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0"/>
    </font>
    <font>
      <name val="Arial"/>
      <b val="1"/>
      <sz val="10"/>
    </font>
    <font>
      <name val="Arial"/>
      <sz val="10"/>
    </font>
    <font>
      <name val="Arial"/>
      <i val="1"/>
      <sz val="10"/>
    </font>
    <font>
      <name val="Arial"/>
      <color rgb="008A6100"/>
      <sz val="9"/>
    </font>
    <font>
      <name val="Arial"/>
      <b val="1"/>
      <color rgb="001F4E5F"/>
      <sz val="13"/>
    </font>
    <font>
      <name val="Arial"/>
      <i val="1"/>
      <color rgb="00606060"/>
      <sz val="9"/>
    </font>
    <font>
      <name val="Arial"/>
      <b val="1"/>
      <color rgb="001F4E5F"/>
      <sz val="14"/>
    </font>
    <font>
      <name val="Arial"/>
      <b val="1"/>
      <color rgb="001F4E5F"/>
      <sz val="11"/>
    </font>
  </fonts>
  <fills count="4">
    <fill>
      <patternFill/>
    </fill>
    <fill>
      <patternFill patternType="gray125"/>
    </fill>
    <fill>
      <patternFill patternType="solid">
        <fgColor rgb="001F4E5F"/>
      </patternFill>
    </fill>
    <fill>
      <patternFill patternType="solid">
        <fgColor rgb="00E8EDF0"/>
      </patternFill>
    </fill>
  </fills>
  <borders count="5">
    <border>
      <left/>
      <right/>
      <top/>
      <bottom/>
      <diagonal/>
    </border>
    <border>
      <bottom style="medium">
        <color rgb="00808080"/>
      </bottom>
    </border>
    <border>
      <top style="medium">
        <color rgb="00808080"/>
      </top>
    </border>
    <border>
      <bottom style="thin">
        <color rgb="00BFBFBF"/>
      </bottom>
    </border>
    <border>
      <top style="medium">
        <color rgb="00808080"/>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vertical="center" wrapText="1"/>
    </xf>
    <xf numFmtId="0" fontId="3" fillId="0" borderId="3" applyAlignment="1" pivotButton="0" quotePrefix="0" xfId="0">
      <alignment vertical="top"/>
    </xf>
    <xf numFmtId="0" fontId="4" fillId="0" borderId="3" applyAlignment="1" pivotButton="0" quotePrefix="0" xfId="0">
      <alignment vertical="top"/>
    </xf>
    <xf numFmtId="3" fontId="2" fillId="0" borderId="3" applyAlignment="1" pivotButton="0" quotePrefix="0" xfId="0">
      <alignment horizontal="center"/>
    </xf>
    <xf numFmtId="3" fontId="3" fillId="0" borderId="3" applyAlignment="1" pivotButton="0" quotePrefix="0" xfId="0">
      <alignment horizontal="center"/>
    </xf>
    <xf numFmtId="0" fontId="3" fillId="0" borderId="3" applyAlignment="1" pivotButton="0" quotePrefix="0" xfId="0">
      <alignment vertical="top" wrapText="1"/>
    </xf>
    <xf numFmtId="0" fontId="5" fillId="0" borderId="3" applyAlignment="1" pivotButton="0" quotePrefix="0" xfId="0">
      <alignment vertical="top" wrapText="1"/>
    </xf>
    <xf numFmtId="0" fontId="2" fillId="3" borderId="2" pivotButton="0" quotePrefix="0" xfId="0"/>
    <xf numFmtId="3" fontId="2" fillId="3" borderId="2" pivotButton="0" quotePrefix="0" xfId="0"/>
    <xf numFmtId="0" fontId="6" fillId="0" borderId="0" pivotButton="0" quotePrefix="0" xfId="0"/>
    <xf numFmtId="0" fontId="3" fillId="0" borderId="3" pivotButton="0" quotePrefix="0" xfId="0"/>
    <xf numFmtId="164" fontId="3" fillId="0" borderId="3" applyAlignment="1" pivotButton="0" quotePrefix="0" xfId="0">
      <alignment horizontal="center"/>
    </xf>
    <xf numFmtId="0" fontId="2" fillId="3" borderId="4" pivotButton="0" quotePrefix="0" xfId="0"/>
    <xf numFmtId="3" fontId="2" fillId="3" borderId="4" applyAlignment="1" pivotButton="0" quotePrefix="0" xfId="0">
      <alignment horizontal="center"/>
    </xf>
    <xf numFmtId="164" fontId="2" fillId="3" borderId="4" applyAlignment="1" pivotButton="0" quotePrefix="0" xfId="0">
      <alignment horizontal="center"/>
    </xf>
    <xf numFmtId="0" fontId="7" fillId="0" borderId="0" pivotButton="0" quotePrefix="0" xfId="0"/>
    <xf numFmtId="0" fontId="2" fillId="0" borderId="3" pivotButton="0" quotePrefix="0" xfId="0"/>
    <xf numFmtId="0" fontId="8" fillId="0" borderId="0" pivotButton="0" quotePrefix="0" xfId="0"/>
    <xf numFmtId="0" fontId="3" fillId="0"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7" customWidth="1" min="3" max="3"/>
    <col width="11" customWidth="1" min="4" max="4"/>
    <col width="10" customWidth="1" min="5" max="5"/>
    <col width="20" customWidth="1" min="6" max="6"/>
    <col width="17" customWidth="1" min="7" max="7"/>
    <col width="8" customWidth="1" min="8" max="8"/>
    <col width="10" customWidth="1" min="9" max="9"/>
    <col width="13" customWidth="1" min="10" max="10"/>
    <col width="15" customWidth="1" min="11" max="11"/>
    <col width="12" customWidth="1" min="12" max="12"/>
    <col width="52" customWidth="1" min="13" max="13"/>
  </cols>
  <sheetData>
    <row r="1" ht="30" customHeight="1">
      <c r="A1" s="1" t="inlineStr">
        <is>
          <t>Cod</t>
        </is>
      </c>
      <c r="B1" s="1" t="inlineStr">
        <is>
          <t>Denumire</t>
        </is>
      </c>
      <c r="C1" s="1" t="inlineStr">
        <is>
          <t>Denumire latină</t>
        </is>
      </c>
      <c r="D1" s="1" t="inlineStr">
        <is>
          <t>Categorie</t>
        </is>
      </c>
      <c r="E1" s="1" t="inlineStr">
        <is>
          <t>Cantitate
(buc.)</t>
        </is>
      </c>
      <c r="F1" s="1" t="inlineStr">
        <is>
          <t>Lumină</t>
        </is>
      </c>
      <c r="G1" s="1" t="inlineStr">
        <is>
          <t>Înălțime la
maturitate</t>
        </is>
      </c>
      <c r="H1" s="1" t="inlineStr">
        <is>
          <t>Zonă
irigare</t>
        </is>
      </c>
      <c r="I1" s="1" t="inlineStr">
        <is>
          <t>Doză vară
(l/plantă)</t>
        </is>
      </c>
      <c r="J1" s="1" t="inlineStr">
        <is>
          <t>Frecvență vară
(udări/săpt.)</t>
        </is>
      </c>
      <c r="K1" s="1" t="inlineStr">
        <is>
          <t>Consum săptămânal
vara (l)</t>
        </is>
      </c>
      <c r="L1" s="1" t="inlineStr">
        <is>
          <t>Puncte marcate
pe plan</t>
        </is>
      </c>
      <c r="M1" s="1" t="inlineStr">
        <is>
          <t>Observații</t>
        </is>
      </c>
    </row>
    <row r="2">
      <c r="A2" s="2" t="inlineStr">
        <is>
          <t>A28</t>
        </is>
      </c>
      <c r="B2" s="2" t="inlineStr">
        <is>
          <t>Arborele de lalea</t>
        </is>
      </c>
      <c r="C2" s="3" t="inlineStr">
        <is>
          <t>Liriodendron tulipifera</t>
        </is>
      </c>
      <c r="D2" s="2" t="inlineStr">
        <is>
          <t>Arbore</t>
        </is>
      </c>
      <c r="E2" s="4" t="n">
        <v>1</v>
      </c>
      <c r="F2" s="2" t="inlineStr">
        <is>
          <t>Soare plin (min. 6 h)</t>
        </is>
      </c>
      <c r="G2" s="2" t="inlineStr">
        <is>
          <t>25–30 m</t>
        </is>
      </c>
      <c r="H2" s="2" t="inlineStr">
        <is>
          <t>D</t>
        </is>
      </c>
      <c r="I2" s="5" t="n">
        <v>30</v>
      </c>
      <c r="J2" s="5" t="n">
        <v>2</v>
      </c>
      <c r="K2" s="5">
        <f>E2*I2*J2</f>
        <v/>
      </c>
      <c r="L2" s="5" t="n">
        <v>1</v>
      </c>
      <c r="M2" s="6" t="inlineStr"/>
    </row>
    <row r="3">
      <c r="A3" s="2" t="inlineStr">
        <is>
          <t>A11</t>
        </is>
      </c>
      <c r="B3" s="2" t="inlineStr">
        <is>
          <t>Arborele de mătase</t>
        </is>
      </c>
      <c r="C3" s="3" t="inlineStr">
        <is>
          <t>Albizia julibrissin</t>
        </is>
      </c>
      <c r="D3" s="2" t="inlineStr">
        <is>
          <t>Arbore</t>
        </is>
      </c>
      <c r="E3" s="4" t="n">
        <v>1</v>
      </c>
      <c r="F3" s="2" t="inlineStr">
        <is>
          <t>Soare plin (min. 6 h)</t>
        </is>
      </c>
      <c r="G3" s="2" t="inlineStr">
        <is>
          <t>6–9 m</t>
        </is>
      </c>
      <c r="H3" s="2" t="inlineStr">
        <is>
          <t>D</t>
        </is>
      </c>
      <c r="I3" s="5" t="n">
        <v>15</v>
      </c>
      <c r="J3" s="5" t="n">
        <v>2</v>
      </c>
      <c r="K3" s="5">
        <f>E3*I3*J3</f>
        <v/>
      </c>
      <c r="L3" s="5" t="n">
        <v>1</v>
      </c>
      <c r="M3" s="6" t="inlineStr"/>
    </row>
    <row r="4">
      <c r="A4" s="2" t="inlineStr">
        <is>
          <t>A24</t>
        </is>
      </c>
      <c r="B4" s="2" t="inlineStr">
        <is>
          <t>Frasin</t>
        </is>
      </c>
      <c r="C4" s="3" t="inlineStr">
        <is>
          <t>Fraxinus excelsior</t>
        </is>
      </c>
      <c r="D4" s="2" t="inlineStr">
        <is>
          <t>Arbore</t>
        </is>
      </c>
      <c r="E4" s="4" t="n">
        <v>17</v>
      </c>
      <c r="F4" s="2" t="inlineStr">
        <is>
          <t>Soare–semiumbră</t>
        </is>
      </c>
      <c r="G4" s="2" t="inlineStr">
        <is>
          <t>25–30 m</t>
        </is>
      </c>
      <c r="H4" s="2" t="inlineStr">
        <is>
          <t>D</t>
        </is>
      </c>
      <c r="I4" s="5" t="n">
        <v>30</v>
      </c>
      <c r="J4" s="5" t="n">
        <v>2</v>
      </c>
      <c r="K4" s="5">
        <f>E4*I4*J4</f>
        <v/>
      </c>
      <c r="L4" s="5" t="n">
        <v>17</v>
      </c>
      <c r="M4" s="6" t="inlineStr"/>
    </row>
    <row r="5">
      <c r="A5" s="2" t="inlineStr">
        <is>
          <t>A30</t>
        </is>
      </c>
      <c r="B5" s="2" t="inlineStr">
        <is>
          <t>Magnolie</t>
        </is>
      </c>
      <c r="C5" s="3" t="inlineStr">
        <is>
          <t>Magnolia × soulangiana</t>
        </is>
      </c>
      <c r="D5" s="2" t="inlineStr">
        <is>
          <t>Arbore</t>
        </is>
      </c>
      <c r="E5" s="4" t="n">
        <v>1</v>
      </c>
      <c r="F5" s="2" t="inlineStr">
        <is>
          <t>Soare–semiumbră</t>
        </is>
      </c>
      <c r="G5" s="2" t="inlineStr">
        <is>
          <t>6–8 m</t>
        </is>
      </c>
      <c r="H5" s="2" t="inlineStr">
        <is>
          <t>D</t>
        </is>
      </c>
      <c r="I5" s="5" t="n">
        <v>20</v>
      </c>
      <c r="J5" s="5" t="n">
        <v>2</v>
      </c>
      <c r="K5" s="5">
        <f>E5*I5*J5</f>
        <v/>
      </c>
      <c r="L5" s="5" t="n">
        <v>1</v>
      </c>
      <c r="M5" s="6" t="inlineStr"/>
    </row>
    <row r="6">
      <c r="A6" s="2" t="inlineStr">
        <is>
          <t>A5</t>
        </is>
      </c>
      <c r="B6" s="2" t="inlineStr">
        <is>
          <t>Paltin de câmp</t>
        </is>
      </c>
      <c r="C6" s="3" t="inlineStr">
        <is>
          <t>Acer platanoides</t>
        </is>
      </c>
      <c r="D6" s="2" t="inlineStr">
        <is>
          <t>Arbore</t>
        </is>
      </c>
      <c r="E6" s="4" t="n">
        <v>2</v>
      </c>
      <c r="F6" s="2" t="inlineStr">
        <is>
          <t>Soare–semiumbră</t>
        </is>
      </c>
      <c r="G6" s="2" t="inlineStr">
        <is>
          <t>20–25 m</t>
        </is>
      </c>
      <c r="H6" s="2" t="inlineStr">
        <is>
          <t>D</t>
        </is>
      </c>
      <c r="I6" s="5" t="n">
        <v>25</v>
      </c>
      <c r="J6" s="5" t="n">
        <v>2</v>
      </c>
      <c r="K6" s="5">
        <f>E6*I6*J6</f>
        <v/>
      </c>
      <c r="L6" s="5" t="n">
        <v>2</v>
      </c>
      <c r="M6" s="6" t="inlineStr"/>
    </row>
    <row r="7">
      <c r="A7" s="2" t="inlineStr">
        <is>
          <t>A34</t>
        </is>
      </c>
      <c r="B7" s="2" t="inlineStr">
        <is>
          <t>Pin negru</t>
        </is>
      </c>
      <c r="C7" s="3" t="inlineStr">
        <is>
          <t>Pinus nigra</t>
        </is>
      </c>
      <c r="D7" s="2" t="inlineStr">
        <is>
          <t>Arbore</t>
        </is>
      </c>
      <c r="E7" s="4" t="n">
        <v>20</v>
      </c>
      <c r="F7" s="2" t="inlineStr">
        <is>
          <t>Soare plin (min. 6 h)</t>
        </is>
      </c>
      <c r="G7" s="2" t="inlineStr">
        <is>
          <t>20–30 m</t>
        </is>
      </c>
      <c r="H7" s="2" t="inlineStr">
        <is>
          <t>X</t>
        </is>
      </c>
      <c r="I7" s="5" t="n">
        <v>5</v>
      </c>
      <c r="J7" s="5" t="n">
        <v>1</v>
      </c>
      <c r="K7" s="5">
        <f>E7*I7*J7</f>
        <v/>
      </c>
      <c r="L7" s="5" t="n">
        <v>21</v>
      </c>
      <c r="M7" s="7" t="inlineStr">
        <is>
          <t>Pe plan sunt 21 de simboluri față de 20 în legendă — de verificat la trasare.</t>
        </is>
      </c>
    </row>
    <row r="8">
      <c r="A8" s="2" t="inlineStr">
        <is>
          <t>A43</t>
        </is>
      </c>
      <c r="B8" s="2" t="inlineStr">
        <is>
          <t>Salcie plângătoare</t>
        </is>
      </c>
      <c r="C8" s="3" t="inlineStr">
        <is>
          <t>Salix babylonica</t>
        </is>
      </c>
      <c r="D8" s="2" t="inlineStr">
        <is>
          <t>Arbore</t>
        </is>
      </c>
      <c r="E8" s="4" t="n">
        <v>2</v>
      </c>
      <c r="F8" s="2" t="inlineStr">
        <is>
          <t>Soare plin (min. 6 h)</t>
        </is>
      </c>
      <c r="G8" s="2" t="inlineStr">
        <is>
          <t>10–12 m</t>
        </is>
      </c>
      <c r="H8" s="2" t="inlineStr">
        <is>
          <t>D</t>
        </is>
      </c>
      <c r="I8" s="5" t="n">
        <v>40</v>
      </c>
      <c r="J8" s="5" t="n">
        <v>2</v>
      </c>
      <c r="K8" s="5">
        <f>E8*I8*J8</f>
        <v/>
      </c>
      <c r="L8" s="5" t="n">
        <v>2</v>
      </c>
      <c r="M8" s="6" t="inlineStr"/>
    </row>
    <row r="9">
      <c r="A9" s="2" t="inlineStr">
        <is>
          <t>A40</t>
        </is>
      </c>
      <c r="B9" s="2" t="inlineStr">
        <is>
          <t>Stejar pufos</t>
        </is>
      </c>
      <c r="C9" s="3" t="inlineStr">
        <is>
          <t>Quercus pubescens</t>
        </is>
      </c>
      <c r="D9" s="2" t="inlineStr">
        <is>
          <t>Arbore</t>
        </is>
      </c>
      <c r="E9" s="4" t="n">
        <v>1</v>
      </c>
      <c r="F9" s="2" t="inlineStr">
        <is>
          <t>Soare plin (min. 6 h)</t>
        </is>
      </c>
      <c r="G9" s="2" t="inlineStr">
        <is>
          <t>10–15 m</t>
        </is>
      </c>
      <c r="H9" s="2" t="inlineStr">
        <is>
          <t>D</t>
        </is>
      </c>
      <c r="I9" s="5" t="n">
        <v>15</v>
      </c>
      <c r="J9" s="5" t="n">
        <v>2</v>
      </c>
      <c r="K9" s="5">
        <f>E9*I9*J9</f>
        <v/>
      </c>
      <c r="L9" s="5" t="n">
        <v>1</v>
      </c>
      <c r="M9" s="6" t="inlineStr"/>
    </row>
    <row r="10">
      <c r="A10" s="2" t="inlineStr">
        <is>
          <t>A21</t>
        </is>
      </c>
      <c r="B10" s="2" t="inlineStr">
        <is>
          <t>Sălcioară</t>
        </is>
      </c>
      <c r="C10" s="3" t="inlineStr">
        <is>
          <t>Elaeagnus angustifolia</t>
        </is>
      </c>
      <c r="D10" s="2" t="inlineStr">
        <is>
          <t>Arbore</t>
        </is>
      </c>
      <c r="E10" s="4" t="n">
        <v>32</v>
      </c>
      <c r="F10" s="2" t="inlineStr">
        <is>
          <t>Soare plin (min. 6 h)</t>
        </is>
      </c>
      <c r="G10" s="2" t="inlineStr">
        <is>
          <t>6–8 m</t>
        </is>
      </c>
      <c r="H10" s="2" t="inlineStr">
        <is>
          <t>B</t>
        </is>
      </c>
      <c r="I10" s="5" t="n">
        <v>5</v>
      </c>
      <c r="J10" s="5" t="n">
        <v>1</v>
      </c>
      <c r="K10" s="5">
        <f>E10*I10*J10</f>
        <v/>
      </c>
      <c r="L10" s="5" t="n">
        <v>32</v>
      </c>
      <c r="M10" s="6" t="inlineStr"/>
    </row>
    <row r="11">
      <c r="A11" s="2" t="inlineStr">
        <is>
          <t>A48</t>
        </is>
      </c>
      <c r="B11" s="2" t="inlineStr">
        <is>
          <t>Tei argintiu</t>
        </is>
      </c>
      <c r="C11" s="3" t="inlineStr">
        <is>
          <t>Tilia tomentosa</t>
        </is>
      </c>
      <c r="D11" s="2" t="inlineStr">
        <is>
          <t>Arbore</t>
        </is>
      </c>
      <c r="E11" s="4" t="n">
        <v>1</v>
      </c>
      <c r="F11" s="2" t="inlineStr">
        <is>
          <t>Soare–semiumbră</t>
        </is>
      </c>
      <c r="G11" s="2" t="inlineStr">
        <is>
          <t>25–30 m</t>
        </is>
      </c>
      <c r="H11" s="2" t="inlineStr">
        <is>
          <t>D</t>
        </is>
      </c>
      <c r="I11" s="5" t="n">
        <v>30</v>
      </c>
      <c r="J11" s="5" t="n">
        <v>2</v>
      </c>
      <c r="K11" s="5">
        <f>E11*I11*J11</f>
        <v/>
      </c>
      <c r="L11" s="5" t="n">
        <v>1</v>
      </c>
      <c r="M11" s="6" t="inlineStr"/>
    </row>
    <row r="12">
      <c r="A12" s="2" t="inlineStr">
        <is>
          <t>A52</t>
        </is>
      </c>
      <c r="B12" s="2" t="inlineStr">
        <is>
          <t>Ulm de Turkestan</t>
        </is>
      </c>
      <c r="C12" s="3" t="inlineStr">
        <is>
          <t>Ulmus pumila</t>
        </is>
      </c>
      <c r="D12" s="2" t="inlineStr">
        <is>
          <t>Arbore</t>
        </is>
      </c>
      <c r="E12" s="4" t="n">
        <v>951</v>
      </c>
      <c r="F12" s="2" t="inlineStr">
        <is>
          <t>Soare plin (min. 6 h)</t>
        </is>
      </c>
      <c r="G12" s="2" t="inlineStr">
        <is>
          <t>12–15 m</t>
        </is>
      </c>
      <c r="H12" s="2" t="inlineStr">
        <is>
          <t>X</t>
        </is>
      </c>
      <c r="I12" s="5" t="n">
        <v>5</v>
      </c>
      <c r="J12" s="5" t="n">
        <v>1</v>
      </c>
      <c r="K12" s="5">
        <f>E12*I12*J12</f>
        <v/>
      </c>
      <c r="L12" s="5" t="n">
        <v>2</v>
      </c>
      <c r="M12" s="7" t="inlineStr">
        <is>
          <t>Perdeaua forestieră dinspre crivăț: desenată ca aliniament, nu ca simboluri individuale (2 puncte pe plan).</t>
        </is>
      </c>
    </row>
    <row r="13">
      <c r="A13" s="2" t="inlineStr">
        <is>
          <t>F32</t>
        </is>
      </c>
      <c r="B13" s="2" t="inlineStr">
        <is>
          <t>Agriș</t>
        </is>
      </c>
      <c r="C13" s="3" t="inlineStr">
        <is>
          <t>Ribes uva-crispa</t>
        </is>
      </c>
      <c r="D13" s="2" t="inlineStr">
        <is>
          <t>Fructifer</t>
        </is>
      </c>
      <c r="E13" s="4" t="n">
        <v>2</v>
      </c>
      <c r="F13" s="2" t="inlineStr">
        <is>
          <t>Soare–semiumbră</t>
        </is>
      </c>
      <c r="G13" s="2" t="inlineStr">
        <is>
          <t>1,5 m</t>
        </is>
      </c>
      <c r="H13" s="2" t="inlineStr">
        <is>
          <t>F</t>
        </is>
      </c>
      <c r="I13" s="5" t="n">
        <v>5</v>
      </c>
      <c r="J13" s="5" t="n">
        <v>2</v>
      </c>
      <c r="K13" s="5">
        <f>E13*I13*J13</f>
        <v/>
      </c>
      <c r="L13" s="5" t="n">
        <v>2</v>
      </c>
      <c r="M13" s="6" t="inlineStr"/>
    </row>
    <row r="14">
      <c r="A14" s="2" t="inlineStr">
        <is>
          <t>F1</t>
        </is>
      </c>
      <c r="B14" s="2" t="inlineStr">
        <is>
          <t>Alun</t>
        </is>
      </c>
      <c r="C14" s="3" t="inlineStr">
        <is>
          <t>Corylus avellana</t>
        </is>
      </c>
      <c r="D14" s="2" t="inlineStr">
        <is>
          <t>Fructifer</t>
        </is>
      </c>
      <c r="E14" s="4" t="n">
        <v>12</v>
      </c>
      <c r="F14" s="2" t="inlineStr">
        <is>
          <t>Soare–semiumbră</t>
        </is>
      </c>
      <c r="G14" s="2" t="inlineStr">
        <is>
          <t>4–5 m</t>
        </is>
      </c>
      <c r="H14" s="2" t="inlineStr">
        <is>
          <t>F</t>
        </is>
      </c>
      <c r="I14" s="5" t="n">
        <v>15</v>
      </c>
      <c r="J14" s="5" t="n">
        <v>2</v>
      </c>
      <c r="K14" s="5">
        <f>E14*I14*J14</f>
        <v/>
      </c>
      <c r="L14" s="5" t="n">
        <v>12</v>
      </c>
      <c r="M14" s="6" t="inlineStr"/>
    </row>
    <row r="15">
      <c r="A15" s="2" t="inlineStr">
        <is>
          <t>F34</t>
        </is>
      </c>
      <c r="B15" s="2" t="inlineStr">
        <is>
          <t>Arbore de mazăre</t>
        </is>
      </c>
      <c r="C15" s="3" t="inlineStr">
        <is>
          <t>Caragana arborescens</t>
        </is>
      </c>
      <c r="D15" s="2" t="inlineStr">
        <is>
          <t>Fructifer</t>
        </is>
      </c>
      <c r="E15" s="4" t="n">
        <v>3</v>
      </c>
      <c r="F15" s="2" t="inlineStr">
        <is>
          <t>Soare plin (min. 6 h)</t>
        </is>
      </c>
      <c r="G15" s="2" t="inlineStr">
        <is>
          <t>4–6 m</t>
        </is>
      </c>
      <c r="H15" s="2" t="inlineStr">
        <is>
          <t>A</t>
        </is>
      </c>
      <c r="I15" s="5" t="n">
        <v>5</v>
      </c>
      <c r="J15" s="5" t="n">
        <v>1</v>
      </c>
      <c r="K15" s="5">
        <f>E15*I15*J15</f>
        <v/>
      </c>
      <c r="L15" s="5" t="n">
        <v>3</v>
      </c>
      <c r="M15" s="6" t="inlineStr"/>
    </row>
    <row r="16">
      <c r="A16" s="2" t="inlineStr">
        <is>
          <t>F59</t>
        </is>
      </c>
      <c r="B16" s="2" t="inlineStr">
        <is>
          <t>Aronia</t>
        </is>
      </c>
      <c r="C16" s="3" t="inlineStr">
        <is>
          <t>Aronia melanocarpa</t>
        </is>
      </c>
      <c r="D16" s="2" t="inlineStr">
        <is>
          <t>Fructifer</t>
        </is>
      </c>
      <c r="E16" s="4" t="n">
        <v>3</v>
      </c>
      <c r="F16" s="2" t="inlineStr">
        <is>
          <t>Soare–semiumbră</t>
        </is>
      </c>
      <c r="G16" s="2" t="inlineStr">
        <is>
          <t>2,0–2,5 m</t>
        </is>
      </c>
      <c r="H16" s="2" t="inlineStr">
        <is>
          <t>C</t>
        </is>
      </c>
      <c r="I16" s="5" t="n">
        <v>8</v>
      </c>
      <c r="J16" s="5" t="n">
        <v>2</v>
      </c>
      <c r="K16" s="5">
        <f>E16*I16*J16</f>
        <v/>
      </c>
      <c r="L16" s="5" t="n">
        <v>3</v>
      </c>
      <c r="M16" s="6" t="inlineStr"/>
    </row>
    <row r="17">
      <c r="A17" s="2" t="inlineStr">
        <is>
          <t>F10</t>
        </is>
      </c>
      <c r="B17" s="2" t="inlineStr">
        <is>
          <t>Cireș</t>
        </is>
      </c>
      <c r="C17" s="3" t="inlineStr">
        <is>
          <t>Prunus avium</t>
        </is>
      </c>
      <c r="D17" s="2" t="inlineStr">
        <is>
          <t>Fructifer</t>
        </is>
      </c>
      <c r="E17" s="4" t="n">
        <v>1</v>
      </c>
      <c r="F17" s="2" t="inlineStr">
        <is>
          <t>Soare plin (min. 6 h)</t>
        </is>
      </c>
      <c r="G17" s="2" t="inlineStr">
        <is>
          <t>6–9 m</t>
        </is>
      </c>
      <c r="H17" s="2" t="inlineStr">
        <is>
          <t>E</t>
        </is>
      </c>
      <c r="I17" s="5" t="n">
        <v>30</v>
      </c>
      <c r="J17" s="5" t="n">
        <v>2</v>
      </c>
      <c r="K17" s="5">
        <f>E17*I17*J17</f>
        <v/>
      </c>
      <c r="L17" s="5" t="n">
        <v>1</v>
      </c>
      <c r="M17" s="6" t="inlineStr"/>
    </row>
    <row r="18">
      <c r="A18" s="2" t="inlineStr">
        <is>
          <t>F31</t>
        </is>
      </c>
      <c r="B18" s="2" t="inlineStr">
        <is>
          <t>Coacăz alb</t>
        </is>
      </c>
      <c r="C18" s="3" t="inlineStr">
        <is>
          <t>Ribes rubrum (varietatea albă)</t>
        </is>
      </c>
      <c r="D18" s="2" t="inlineStr">
        <is>
          <t>Fructifer</t>
        </is>
      </c>
      <c r="E18" s="4" t="n">
        <v>2</v>
      </c>
      <c r="F18" s="2" t="inlineStr">
        <is>
          <t>Soare–semiumbră</t>
        </is>
      </c>
      <c r="G18" s="2" t="inlineStr">
        <is>
          <t>1,5 m</t>
        </is>
      </c>
      <c r="H18" s="2" t="inlineStr">
        <is>
          <t>F</t>
        </is>
      </c>
      <c r="I18" s="5" t="n">
        <v>5</v>
      </c>
      <c r="J18" s="5" t="n">
        <v>2</v>
      </c>
      <c r="K18" s="5">
        <f>E18*I18*J18</f>
        <v/>
      </c>
      <c r="L18" s="5" t="n">
        <v>2</v>
      </c>
      <c r="M18" s="6" t="inlineStr"/>
    </row>
    <row r="19">
      <c r="A19" s="2" t="inlineStr">
        <is>
          <t>F30</t>
        </is>
      </c>
      <c r="B19" s="2" t="inlineStr">
        <is>
          <t>Coacăz negru</t>
        </is>
      </c>
      <c r="C19" s="3" t="inlineStr">
        <is>
          <t>Ribes nigrum</t>
        </is>
      </c>
      <c r="D19" s="2" t="inlineStr">
        <is>
          <t>Fructifer</t>
        </is>
      </c>
      <c r="E19" s="4" t="n">
        <v>3</v>
      </c>
      <c r="F19" s="2" t="inlineStr">
        <is>
          <t>Soare–semiumbră</t>
        </is>
      </c>
      <c r="G19" s="2" t="inlineStr">
        <is>
          <t>1,8–2,0 m</t>
        </is>
      </c>
      <c r="H19" s="2" t="inlineStr">
        <is>
          <t>F</t>
        </is>
      </c>
      <c r="I19" s="5" t="n">
        <v>5</v>
      </c>
      <c r="J19" s="5" t="n">
        <v>2</v>
      </c>
      <c r="K19" s="5">
        <f>E19*I19*J19</f>
        <v/>
      </c>
      <c r="L19" s="5" t="n">
        <v>3</v>
      </c>
      <c r="M19" s="6" t="inlineStr"/>
    </row>
    <row r="20">
      <c r="A20" s="2" t="inlineStr">
        <is>
          <t>F29</t>
        </is>
      </c>
      <c r="B20" s="2" t="inlineStr">
        <is>
          <t>Coacăz roșu</t>
        </is>
      </c>
      <c r="C20" s="3" t="inlineStr">
        <is>
          <t>Ribes rubrum</t>
        </is>
      </c>
      <c r="D20" s="2" t="inlineStr">
        <is>
          <t>Fructifer</t>
        </is>
      </c>
      <c r="E20" s="4" t="n">
        <v>16</v>
      </c>
      <c r="F20" s="2" t="inlineStr">
        <is>
          <t>Soare–semiumbră</t>
        </is>
      </c>
      <c r="G20" s="2" t="inlineStr">
        <is>
          <t>1,5 m</t>
        </is>
      </c>
      <c r="H20" s="2" t="inlineStr">
        <is>
          <t>F</t>
        </is>
      </c>
      <c r="I20" s="5" t="n">
        <v>5</v>
      </c>
      <c r="J20" s="5" t="n">
        <v>2</v>
      </c>
      <c r="K20" s="5">
        <f>E20*I20*J20</f>
        <v/>
      </c>
      <c r="L20" s="5" t="n">
        <v>16</v>
      </c>
      <c r="M20" s="6" t="inlineStr"/>
    </row>
    <row r="21">
      <c r="A21" s="2" t="inlineStr">
        <is>
          <t>F11</t>
        </is>
      </c>
      <c r="B21" s="2" t="inlineStr">
        <is>
          <t>Corcoduș</t>
        </is>
      </c>
      <c r="C21" s="3" t="inlineStr">
        <is>
          <t>Prunus cerasifera</t>
        </is>
      </c>
      <c r="D21" s="2" t="inlineStr">
        <is>
          <t>Fructifer</t>
        </is>
      </c>
      <c r="E21" s="4" t="n">
        <v>1</v>
      </c>
      <c r="F21" s="2" t="inlineStr">
        <is>
          <t>Soare plin (min. 6 h)</t>
        </is>
      </c>
      <c r="G21" s="2" t="inlineStr">
        <is>
          <t>6–8 m</t>
        </is>
      </c>
      <c r="H21" s="2" t="inlineStr">
        <is>
          <t>E</t>
        </is>
      </c>
      <c r="I21" s="5" t="n">
        <v>20</v>
      </c>
      <c r="J21" s="5" t="n">
        <v>2</v>
      </c>
      <c r="K21" s="5">
        <f>E21*I21*J21</f>
        <v/>
      </c>
      <c r="L21" s="5" t="n">
        <v>1</v>
      </c>
      <c r="M21" s="6" t="inlineStr"/>
    </row>
    <row r="22">
      <c r="A22" s="2" t="inlineStr">
        <is>
          <t>F21</t>
        </is>
      </c>
      <c r="B22" s="2" t="inlineStr">
        <is>
          <t>Corn</t>
        </is>
      </c>
      <c r="C22" s="3" t="inlineStr">
        <is>
          <t>Cornus mas</t>
        </is>
      </c>
      <c r="D22" s="2" t="inlineStr">
        <is>
          <t>Fructifer</t>
        </is>
      </c>
      <c r="E22" s="4" t="n">
        <v>14</v>
      </c>
      <c r="F22" s="2" t="inlineStr">
        <is>
          <t>Soare–semiumbră</t>
        </is>
      </c>
      <c r="G22" s="2" t="inlineStr">
        <is>
          <t>5–6 m</t>
        </is>
      </c>
      <c r="H22" s="2" t="inlineStr">
        <is>
          <t>F</t>
        </is>
      </c>
      <c r="I22" s="5" t="n">
        <v>10</v>
      </c>
      <c r="J22" s="5" t="n">
        <v>2</v>
      </c>
      <c r="K22" s="5">
        <f>E22*I22*J22</f>
        <v/>
      </c>
      <c r="L22" s="5" t="n">
        <v>14</v>
      </c>
      <c r="M22" s="6" t="inlineStr"/>
    </row>
    <row r="23">
      <c r="A23" s="2" t="inlineStr">
        <is>
          <t>F26</t>
        </is>
      </c>
      <c r="B23" s="2" t="inlineStr">
        <is>
          <t>Cătină</t>
        </is>
      </c>
      <c r="C23" s="3" t="inlineStr">
        <is>
          <t>Hippophae rhamnoides</t>
        </is>
      </c>
      <c r="D23" s="2" t="inlineStr">
        <is>
          <t>Fructifer</t>
        </is>
      </c>
      <c r="E23" s="4" t="n">
        <v>5</v>
      </c>
      <c r="F23" s="2" t="inlineStr">
        <is>
          <t>Soare plin (min. 6 h)</t>
        </is>
      </c>
      <c r="G23" s="2" t="inlineStr">
        <is>
          <t>4–6 m</t>
        </is>
      </c>
      <c r="H23" s="2" t="inlineStr">
        <is>
          <t>F</t>
        </is>
      </c>
      <c r="I23" s="5" t="n">
        <v>3</v>
      </c>
      <c r="J23" s="5" t="n">
        <v>2</v>
      </c>
      <c r="K23" s="5">
        <f>E23*I23*J23</f>
        <v/>
      </c>
      <c r="L23" s="5" t="n">
        <v>5</v>
      </c>
      <c r="M23" s="6" t="inlineStr"/>
    </row>
    <row r="24">
      <c r="A24" s="2" t="inlineStr">
        <is>
          <t>F9</t>
        </is>
      </c>
      <c r="B24" s="2" t="inlineStr">
        <is>
          <t>Dud alb</t>
        </is>
      </c>
      <c r="C24" s="3" t="inlineStr">
        <is>
          <t>Morus alba</t>
        </is>
      </c>
      <c r="D24" s="2" t="inlineStr">
        <is>
          <t>Fructifer</t>
        </is>
      </c>
      <c r="E24" s="4" t="n">
        <v>16</v>
      </c>
      <c r="F24" s="2" t="inlineStr">
        <is>
          <t>Soare plin (min. 6 h)</t>
        </is>
      </c>
      <c r="G24" s="2" t="inlineStr">
        <is>
          <t>10–12 m</t>
        </is>
      </c>
      <c r="H24" s="2" t="inlineStr">
        <is>
          <t>D</t>
        </is>
      </c>
      <c r="I24" s="5" t="n">
        <v>20</v>
      </c>
      <c r="J24" s="5" t="n">
        <v>2</v>
      </c>
      <c r="K24" s="5">
        <f>E24*I24*J24</f>
        <v/>
      </c>
      <c r="L24" s="5" t="n">
        <v>16</v>
      </c>
      <c r="M24" s="6" t="inlineStr"/>
    </row>
    <row r="25">
      <c r="A25" s="2" t="inlineStr">
        <is>
          <t>F18</t>
        </is>
      </c>
      <c r="B25" s="2" t="inlineStr">
        <is>
          <t>Jujuba</t>
        </is>
      </c>
      <c r="C25" s="3" t="inlineStr">
        <is>
          <t>Ziziphus jujuba</t>
        </is>
      </c>
      <c r="D25" s="2" t="inlineStr">
        <is>
          <t>Fructifer</t>
        </is>
      </c>
      <c r="E25" s="4" t="n">
        <v>1</v>
      </c>
      <c r="F25" s="2" t="inlineStr">
        <is>
          <t>Soare plin (min. 6 h)</t>
        </is>
      </c>
      <c r="G25" s="2" t="inlineStr">
        <is>
          <t>6–8 m</t>
        </is>
      </c>
      <c r="H25" s="2" t="inlineStr">
        <is>
          <t>E</t>
        </is>
      </c>
      <c r="I25" s="5" t="n">
        <v>10</v>
      </c>
      <c r="J25" s="5" t="n">
        <v>2</v>
      </c>
      <c r="K25" s="5">
        <f>E25*I25*J25</f>
        <v/>
      </c>
      <c r="L25" s="5" t="n">
        <v>1</v>
      </c>
      <c r="M25" s="6" t="inlineStr"/>
    </row>
    <row r="26">
      <c r="A26" s="2" t="inlineStr">
        <is>
          <t>F3</t>
        </is>
      </c>
      <c r="B26" s="2" t="inlineStr">
        <is>
          <t>Kaki</t>
        </is>
      </c>
      <c r="C26" s="3" t="inlineStr">
        <is>
          <t>Diospyros kaki</t>
        </is>
      </c>
      <c r="D26" s="2" t="inlineStr">
        <is>
          <t>Fructifer</t>
        </is>
      </c>
      <c r="E26" s="4" t="n">
        <v>2</v>
      </c>
      <c r="F26" s="2" t="inlineStr">
        <is>
          <t>Soare plin (min. 6 h)</t>
        </is>
      </c>
      <c r="G26" s="2" t="inlineStr">
        <is>
          <t>6–8 m</t>
        </is>
      </c>
      <c r="H26" s="2" t="inlineStr">
        <is>
          <t>E</t>
        </is>
      </c>
      <c r="I26" s="5" t="n">
        <v>20</v>
      </c>
      <c r="J26" s="5" t="n">
        <v>2</v>
      </c>
      <c r="K26" s="5">
        <f>E26*I26*J26</f>
        <v/>
      </c>
      <c r="L26" s="5" t="n">
        <v>2</v>
      </c>
      <c r="M26" s="6" t="inlineStr"/>
    </row>
    <row r="27">
      <c r="A27" s="2" t="inlineStr">
        <is>
          <t>F14</t>
        </is>
      </c>
      <c r="B27" s="2" t="inlineStr">
        <is>
          <t>Migdal</t>
        </is>
      </c>
      <c r="C27" s="3" t="inlineStr">
        <is>
          <t>Prunus dulcis</t>
        </is>
      </c>
      <c r="D27" s="2" t="inlineStr">
        <is>
          <t>Fructifer</t>
        </is>
      </c>
      <c r="E27" s="4" t="n">
        <v>1</v>
      </c>
      <c r="F27" s="2" t="inlineStr">
        <is>
          <t>Soare plin (min. 6 h)</t>
        </is>
      </c>
      <c r="G27" s="2" t="inlineStr">
        <is>
          <t>5–7 m</t>
        </is>
      </c>
      <c r="H27" s="2" t="inlineStr">
        <is>
          <t>E</t>
        </is>
      </c>
      <c r="I27" s="5" t="n">
        <v>15</v>
      </c>
      <c r="J27" s="5" t="n">
        <v>2</v>
      </c>
      <c r="K27" s="5">
        <f>E27*I27*J27</f>
        <v/>
      </c>
      <c r="L27" s="5" t="n">
        <v>1</v>
      </c>
      <c r="M27" s="6" t="inlineStr"/>
    </row>
    <row r="28">
      <c r="A28" s="2" t="inlineStr">
        <is>
          <t>F8</t>
        </is>
      </c>
      <c r="B28" s="2" t="inlineStr">
        <is>
          <t>Moșmon</t>
        </is>
      </c>
      <c r="C28" s="3" t="inlineStr">
        <is>
          <t>Mespilus germanica</t>
        </is>
      </c>
      <c r="D28" s="2" t="inlineStr">
        <is>
          <t>Fructifer</t>
        </is>
      </c>
      <c r="E28" s="4" t="n">
        <v>1</v>
      </c>
      <c r="F28" s="2" t="inlineStr">
        <is>
          <t>Soare–semiumbră</t>
        </is>
      </c>
      <c r="G28" s="2" t="inlineStr">
        <is>
          <t>4–6 m</t>
        </is>
      </c>
      <c r="H28" s="2" t="inlineStr">
        <is>
          <t>E</t>
        </is>
      </c>
      <c r="I28" s="5" t="n">
        <v>15</v>
      </c>
      <c r="J28" s="5" t="n">
        <v>2</v>
      </c>
      <c r="K28" s="5">
        <f>E28*I28*J28</f>
        <v/>
      </c>
      <c r="L28" s="5" t="n">
        <v>1</v>
      </c>
      <c r="M28" s="6" t="inlineStr"/>
    </row>
    <row r="29">
      <c r="A29" s="2" t="inlineStr">
        <is>
          <t>F28</t>
        </is>
      </c>
      <c r="B29" s="2" t="inlineStr">
        <is>
          <t>Măceș</t>
        </is>
      </c>
      <c r="C29" s="3" t="inlineStr">
        <is>
          <t>Rosa canina</t>
        </is>
      </c>
      <c r="D29" s="2" t="inlineStr">
        <is>
          <t>Fructifer</t>
        </is>
      </c>
      <c r="E29" s="4" t="n">
        <v>8</v>
      </c>
      <c r="F29" s="2" t="inlineStr">
        <is>
          <t>Soare plin (min. 6 h)</t>
        </is>
      </c>
      <c r="G29" s="2" t="inlineStr">
        <is>
          <t>3–4 m</t>
        </is>
      </c>
      <c r="H29" s="2" t="inlineStr">
        <is>
          <t>A</t>
        </is>
      </c>
      <c r="I29" s="5" t="n">
        <v>5</v>
      </c>
      <c r="J29" s="5" t="n">
        <v>1</v>
      </c>
      <c r="K29" s="5">
        <f>E29*I29*J29</f>
        <v/>
      </c>
      <c r="L29" s="5" t="n">
        <v>8</v>
      </c>
      <c r="M29" s="6" t="inlineStr"/>
    </row>
    <row r="30">
      <c r="A30" s="2" t="inlineStr">
        <is>
          <t>F7</t>
        </is>
      </c>
      <c r="B30" s="2" t="inlineStr">
        <is>
          <t>Măr</t>
        </is>
      </c>
      <c r="C30" s="3" t="inlineStr">
        <is>
          <t>Malus domestica</t>
        </is>
      </c>
      <c r="D30" s="2" t="inlineStr">
        <is>
          <t>Fructifer</t>
        </is>
      </c>
      <c r="E30" s="4" t="n">
        <v>1</v>
      </c>
      <c r="F30" s="2" t="inlineStr">
        <is>
          <t>Soare plin (min. 6 h)</t>
        </is>
      </c>
      <c r="G30" s="2" t="inlineStr">
        <is>
          <t>4–5 m</t>
        </is>
      </c>
      <c r="H30" s="2" t="inlineStr">
        <is>
          <t>E</t>
        </is>
      </c>
      <c r="I30" s="5" t="n">
        <v>25</v>
      </c>
      <c r="J30" s="5" t="n">
        <v>2</v>
      </c>
      <c r="K30" s="5">
        <f>E30*I30*J30</f>
        <v/>
      </c>
      <c r="L30" s="5" t="n">
        <v>1</v>
      </c>
      <c r="M30" s="6" t="inlineStr"/>
    </row>
    <row r="31">
      <c r="A31" s="2" t="inlineStr">
        <is>
          <t>F56</t>
        </is>
      </c>
      <c r="B31" s="2" t="inlineStr">
        <is>
          <t>Nectarin</t>
        </is>
      </c>
      <c r="C31" s="3" t="inlineStr">
        <is>
          <t>Prunus persica var. nucipersica</t>
        </is>
      </c>
      <c r="D31" s="2" t="inlineStr">
        <is>
          <t>Fructifer</t>
        </is>
      </c>
      <c r="E31" s="4" t="n">
        <v>1</v>
      </c>
      <c r="F31" s="2" t="inlineStr">
        <is>
          <t>Soare plin (min. 6 h)</t>
        </is>
      </c>
      <c r="G31" s="2" t="inlineStr">
        <is>
          <t>4–5 m</t>
        </is>
      </c>
      <c r="H31" s="2" t="inlineStr">
        <is>
          <t>E</t>
        </is>
      </c>
      <c r="I31" s="5" t="n">
        <v>25</v>
      </c>
      <c r="J31" s="5" t="n">
        <v>2</v>
      </c>
      <c r="K31" s="5">
        <f>E31*I31*J31</f>
        <v/>
      </c>
      <c r="L31" s="5" t="n">
        <v>1</v>
      </c>
      <c r="M31" s="6" t="inlineStr"/>
    </row>
    <row r="32">
      <c r="A32" s="2" t="inlineStr">
        <is>
          <t>F6</t>
        </is>
      </c>
      <c r="B32" s="2" t="inlineStr">
        <is>
          <t>Nuc</t>
        </is>
      </c>
      <c r="C32" s="3" t="inlineStr">
        <is>
          <t>Juglans regia</t>
        </is>
      </c>
      <c r="D32" s="2" t="inlineStr">
        <is>
          <t>Fructifer</t>
        </is>
      </c>
      <c r="E32" s="4" t="n">
        <v>2</v>
      </c>
      <c r="F32" s="2" t="inlineStr">
        <is>
          <t>Soare plin (min. 6 h)</t>
        </is>
      </c>
      <c r="G32" s="2" t="inlineStr">
        <is>
          <t>15–20 m</t>
        </is>
      </c>
      <c r="H32" s="2" t="inlineStr">
        <is>
          <t>E</t>
        </is>
      </c>
      <c r="I32" s="5" t="n">
        <v>30</v>
      </c>
      <c r="J32" s="5" t="n">
        <v>2</v>
      </c>
      <c r="K32" s="5">
        <f>E32*I32*J32</f>
        <v/>
      </c>
      <c r="L32" s="5" t="n">
        <v>2</v>
      </c>
      <c r="M32" s="6" t="inlineStr"/>
    </row>
    <row r="33">
      <c r="A33" s="2" t="inlineStr">
        <is>
          <t>F15</t>
        </is>
      </c>
      <c r="B33" s="2" t="inlineStr">
        <is>
          <t>Piersic</t>
        </is>
      </c>
      <c r="C33" s="3" t="inlineStr">
        <is>
          <t>Prunus persica</t>
        </is>
      </c>
      <c r="D33" s="2" t="inlineStr">
        <is>
          <t>Fructifer</t>
        </is>
      </c>
      <c r="E33" s="4" t="n">
        <v>1</v>
      </c>
      <c r="F33" s="2" t="inlineStr">
        <is>
          <t>Soare plin (min. 6 h)</t>
        </is>
      </c>
      <c r="G33" s="2" t="inlineStr">
        <is>
          <t>4–5 m</t>
        </is>
      </c>
      <c r="H33" s="2" t="inlineStr">
        <is>
          <t>E</t>
        </is>
      </c>
      <c r="I33" s="5" t="n">
        <v>25</v>
      </c>
      <c r="J33" s="5" t="n">
        <v>2</v>
      </c>
      <c r="K33" s="5">
        <f>E33*I33*J33</f>
        <v/>
      </c>
      <c r="L33" s="5" t="n">
        <v>1</v>
      </c>
      <c r="M33" s="6" t="inlineStr"/>
    </row>
    <row r="34">
      <c r="A34" s="2" t="inlineStr">
        <is>
          <t>F19</t>
        </is>
      </c>
      <c r="B34" s="2" t="inlineStr">
        <is>
          <t>Pom de stafide</t>
        </is>
      </c>
      <c r="C34" s="3" t="inlineStr">
        <is>
          <t>Amelanchier lamarckii</t>
        </is>
      </c>
      <c r="D34" s="2" t="inlineStr">
        <is>
          <t>Fructifer</t>
        </is>
      </c>
      <c r="E34" s="4" t="n">
        <v>1</v>
      </c>
      <c r="F34" s="2" t="inlineStr">
        <is>
          <t>Soare–semiumbră</t>
        </is>
      </c>
      <c r="G34" s="2" t="inlineStr">
        <is>
          <t>5–8 m</t>
        </is>
      </c>
      <c r="H34" s="2" t="inlineStr">
        <is>
          <t>E</t>
        </is>
      </c>
      <c r="I34" s="5" t="n">
        <v>15</v>
      </c>
      <c r="J34" s="5" t="n">
        <v>2</v>
      </c>
      <c r="K34" s="5">
        <f>E34*I34*J34</f>
        <v/>
      </c>
      <c r="L34" s="5" t="n">
        <v>1</v>
      </c>
      <c r="M34" s="6" t="inlineStr"/>
    </row>
    <row r="35">
      <c r="A35" s="2" t="inlineStr">
        <is>
          <t>F53</t>
        </is>
      </c>
      <c r="B35" s="2" t="inlineStr">
        <is>
          <t>Prun</t>
        </is>
      </c>
      <c r="C35" s="3" t="inlineStr">
        <is>
          <t>Prunus domestica</t>
        </is>
      </c>
      <c r="D35" s="2" t="inlineStr">
        <is>
          <t>Fructifer</t>
        </is>
      </c>
      <c r="E35" s="4" t="n">
        <v>1</v>
      </c>
      <c r="F35" s="2" t="inlineStr">
        <is>
          <t>Soare plin (min. 6 h)</t>
        </is>
      </c>
      <c r="G35" s="2" t="inlineStr">
        <is>
          <t>5–6 m</t>
        </is>
      </c>
      <c r="H35" s="2" t="inlineStr">
        <is>
          <t>E</t>
        </is>
      </c>
      <c r="I35" s="5" t="n">
        <v>25</v>
      </c>
      <c r="J35" s="5" t="n">
        <v>2</v>
      </c>
      <c r="K35" s="5">
        <f>E35*I35*J35</f>
        <v/>
      </c>
      <c r="L35" s="5" t="n">
        <v>1</v>
      </c>
      <c r="M35" s="6" t="inlineStr"/>
    </row>
    <row r="36">
      <c r="A36" s="2" t="inlineStr">
        <is>
          <t>F17</t>
        </is>
      </c>
      <c r="B36" s="2" t="inlineStr">
        <is>
          <t>Păr</t>
        </is>
      </c>
      <c r="C36" s="3" t="inlineStr">
        <is>
          <t>Pyrus communis</t>
        </is>
      </c>
      <c r="D36" s="2" t="inlineStr">
        <is>
          <t>Fructifer</t>
        </is>
      </c>
      <c r="E36" s="4" t="n">
        <v>1</v>
      </c>
      <c r="F36" s="2" t="inlineStr">
        <is>
          <t>Soare plin (min. 6 h)</t>
        </is>
      </c>
      <c r="G36" s="2" t="inlineStr">
        <is>
          <t>6–10 m</t>
        </is>
      </c>
      <c r="H36" s="2" t="inlineStr">
        <is>
          <t>E</t>
        </is>
      </c>
      <c r="I36" s="5" t="n">
        <v>25</v>
      </c>
      <c r="J36" s="5" t="n">
        <v>2</v>
      </c>
      <c r="K36" s="5">
        <f>E36*I36*J36</f>
        <v/>
      </c>
      <c r="L36" s="5" t="n">
        <v>1</v>
      </c>
      <c r="M36" s="6" t="inlineStr"/>
    </row>
    <row r="37">
      <c r="A37" s="2" t="inlineStr">
        <is>
          <t>F16</t>
        </is>
      </c>
      <c r="B37" s="2" t="inlineStr">
        <is>
          <t>Rodiu</t>
        </is>
      </c>
      <c r="C37" s="3" t="inlineStr">
        <is>
          <t>Punica granatum</t>
        </is>
      </c>
      <c r="D37" s="2" t="inlineStr">
        <is>
          <t>Fructifer</t>
        </is>
      </c>
      <c r="E37" s="4" t="n">
        <v>1</v>
      </c>
      <c r="F37" s="2" t="inlineStr">
        <is>
          <t>Soare plin (min. 6 h)</t>
        </is>
      </c>
      <c r="G37" s="2" t="inlineStr">
        <is>
          <t>3–4 m</t>
        </is>
      </c>
      <c r="H37" s="2" t="inlineStr">
        <is>
          <t>E</t>
        </is>
      </c>
      <c r="I37" s="5" t="n">
        <v>15</v>
      </c>
      <c r="J37" s="5" t="n">
        <v>2</v>
      </c>
      <c r="K37" s="5">
        <f>E37*I37*J37</f>
        <v/>
      </c>
      <c r="L37" s="5" t="n">
        <v>1</v>
      </c>
      <c r="M37" s="7" t="inlineStr">
        <is>
          <t>La limita de rezistență la ger: primii ani cere protecție iarna.</t>
        </is>
      </c>
    </row>
    <row r="38">
      <c r="A38" s="2" t="inlineStr">
        <is>
          <t>F4</t>
        </is>
      </c>
      <c r="B38" s="2" t="inlineStr">
        <is>
          <t>Smochin</t>
        </is>
      </c>
      <c r="C38" s="3" t="inlineStr">
        <is>
          <t>Ficus carica</t>
        </is>
      </c>
      <c r="D38" s="2" t="inlineStr">
        <is>
          <t>Fructifer</t>
        </is>
      </c>
      <c r="E38" s="4" t="n">
        <v>2</v>
      </c>
      <c r="F38" s="2" t="inlineStr">
        <is>
          <t>Soare plin (min. 6 h)</t>
        </is>
      </c>
      <c r="G38" s="2" t="inlineStr">
        <is>
          <t>4–6 m</t>
        </is>
      </c>
      <c r="H38" s="2" t="inlineStr">
        <is>
          <t>E</t>
        </is>
      </c>
      <c r="I38" s="5" t="n">
        <v>20</v>
      </c>
      <c r="J38" s="5" t="n">
        <v>2</v>
      </c>
      <c r="K38" s="5">
        <f>E38*I38*J38</f>
        <v/>
      </c>
      <c r="L38" s="5" t="n">
        <v>2</v>
      </c>
      <c r="M38" s="6" t="inlineStr"/>
    </row>
    <row r="39">
      <c r="A39" s="2" t="inlineStr">
        <is>
          <t>F44</t>
        </is>
      </c>
      <c r="B39" s="2" t="inlineStr">
        <is>
          <t>Sânger</t>
        </is>
      </c>
      <c r="C39" s="3" t="inlineStr">
        <is>
          <t>Cornus sanguinea</t>
        </is>
      </c>
      <c r="D39" s="2" t="inlineStr">
        <is>
          <t>Fructifer</t>
        </is>
      </c>
      <c r="E39" s="4" t="n">
        <v>2</v>
      </c>
      <c r="F39" s="2" t="inlineStr">
        <is>
          <t>Soare–semiumbră</t>
        </is>
      </c>
      <c r="G39" s="2" t="inlineStr">
        <is>
          <t>4–5 m</t>
        </is>
      </c>
      <c r="H39" s="2" t="inlineStr">
        <is>
          <t>C</t>
        </is>
      </c>
      <c r="I39" s="5" t="n">
        <v>8</v>
      </c>
      <c r="J39" s="5" t="n">
        <v>2</v>
      </c>
      <c r="K39" s="5">
        <f>E39*I39*J39</f>
        <v/>
      </c>
      <c r="L39" s="5" t="n">
        <v>2</v>
      </c>
      <c r="M39" s="6" t="inlineStr"/>
    </row>
    <row r="40">
      <c r="A40" s="2" t="inlineStr">
        <is>
          <t>F12</t>
        </is>
      </c>
      <c r="B40" s="2" t="inlineStr">
        <is>
          <t>Vișin</t>
        </is>
      </c>
      <c r="C40" s="3" t="inlineStr">
        <is>
          <t>Prunus cerasus</t>
        </is>
      </c>
      <c r="D40" s="2" t="inlineStr">
        <is>
          <t>Fructifer</t>
        </is>
      </c>
      <c r="E40" s="4" t="n">
        <v>1</v>
      </c>
      <c r="F40" s="2" t="inlineStr">
        <is>
          <t>Soare plin (min. 6 h)</t>
        </is>
      </c>
      <c r="G40" s="2" t="inlineStr">
        <is>
          <t>4–5 m</t>
        </is>
      </c>
      <c r="H40" s="2" t="inlineStr">
        <is>
          <t>E</t>
        </is>
      </c>
      <c r="I40" s="5" t="n">
        <v>20</v>
      </c>
      <c r="J40" s="5" t="n">
        <v>2</v>
      </c>
      <c r="K40" s="5">
        <f>E40*I40*J40</f>
        <v/>
      </c>
      <c r="L40" s="5" t="n">
        <v>1</v>
      </c>
      <c r="M40" s="6" t="inlineStr"/>
    </row>
    <row r="41">
      <c r="A41" s="2" t="inlineStr">
        <is>
          <t>F33</t>
        </is>
      </c>
      <c r="B41" s="2" t="inlineStr">
        <is>
          <t>Viță de vie</t>
        </is>
      </c>
      <c r="C41" s="3" t="inlineStr">
        <is>
          <t>Vitis vinifera</t>
        </is>
      </c>
      <c r="D41" s="2" t="inlineStr">
        <is>
          <t>Fructifer</t>
        </is>
      </c>
      <c r="E41" s="4" t="n">
        <v>15</v>
      </c>
      <c r="F41" s="2" t="inlineStr">
        <is>
          <t>Soare plin (min. 6 h)</t>
        </is>
      </c>
      <c r="G41" s="2" t="inlineStr">
        <is>
          <t>2,0–2,5 m</t>
        </is>
      </c>
      <c r="H41" s="2" t="inlineStr">
        <is>
          <t>E</t>
        </is>
      </c>
      <c r="I41" s="5" t="n">
        <v>15</v>
      </c>
      <c r="J41" s="5" t="n">
        <v>2</v>
      </c>
      <c r="K41" s="5">
        <f>E41*I41*J41</f>
        <v/>
      </c>
      <c r="L41" s="5" t="n">
        <v>5</v>
      </c>
      <c r="M41" s="7" t="inlineStr">
        <is>
          <t>Rând pe spalier: 5 simboluri pe plan pentru 15 butuci.</t>
        </is>
      </c>
    </row>
    <row r="42">
      <c r="A42" s="2" t="inlineStr">
        <is>
          <t>S38</t>
        </is>
      </c>
      <c r="B42" s="2" t="inlineStr">
        <is>
          <t>Cununiță</t>
        </is>
      </c>
      <c r="C42" s="3" t="inlineStr">
        <is>
          <t>Spiraea japonica</t>
        </is>
      </c>
      <c r="D42" s="2" t="inlineStr">
        <is>
          <t>Arbust</t>
        </is>
      </c>
      <c r="E42" s="4" t="n">
        <v>3</v>
      </c>
      <c r="F42" s="2" t="inlineStr">
        <is>
          <t>Soare plin (min. 6 h)</t>
        </is>
      </c>
      <c r="G42" s="2" t="inlineStr">
        <is>
          <t>1,2–1,5 m</t>
        </is>
      </c>
      <c r="H42" s="2" t="inlineStr">
        <is>
          <t>C</t>
        </is>
      </c>
      <c r="I42" s="5" t="n">
        <v>4</v>
      </c>
      <c r="J42" s="5" t="n">
        <v>2</v>
      </c>
      <c r="K42" s="5">
        <f>E42*I42*J42</f>
        <v/>
      </c>
      <c r="L42" s="5" t="n">
        <v>3</v>
      </c>
      <c r="M42" s="6" t="inlineStr"/>
    </row>
    <row r="43">
      <c r="A43" s="2" t="inlineStr">
        <is>
          <t>S72</t>
        </is>
      </c>
      <c r="B43" s="2" t="inlineStr">
        <is>
          <t>Călin</t>
        </is>
      </c>
      <c r="C43" s="3" t="inlineStr">
        <is>
          <t>Viburnum opulus</t>
        </is>
      </c>
      <c r="D43" s="2" t="inlineStr">
        <is>
          <t>Arbust</t>
        </is>
      </c>
      <c r="E43" s="4" t="n">
        <v>4</v>
      </c>
      <c r="F43" s="2" t="inlineStr">
        <is>
          <t>Soare–semiumbră</t>
        </is>
      </c>
      <c r="G43" s="2" t="inlineStr">
        <is>
          <t>4–5 m</t>
        </is>
      </c>
      <c r="H43" s="2" t="inlineStr">
        <is>
          <t>C</t>
        </is>
      </c>
      <c r="I43" s="5" t="n">
        <v>10</v>
      </c>
      <c r="J43" s="5" t="n">
        <v>2</v>
      </c>
      <c r="K43" s="5">
        <f>E43*I43*J43</f>
        <v/>
      </c>
      <c r="L43" s="5" t="n">
        <v>3</v>
      </c>
      <c r="M43" s="7" t="inlineStr">
        <is>
          <t>Pe plan sunt 3 simboluri față de 4 în legendă — de verificat la trasare.</t>
        </is>
      </c>
    </row>
    <row r="44">
      <c r="A44" s="2" t="inlineStr">
        <is>
          <t>S6</t>
        </is>
      </c>
      <c r="B44" s="2" t="inlineStr">
        <is>
          <t>Hibiscus</t>
        </is>
      </c>
      <c r="C44" s="3" t="inlineStr">
        <is>
          <t>Hibiscus syriacus</t>
        </is>
      </c>
      <c r="D44" s="2" t="inlineStr">
        <is>
          <t>Arbust</t>
        </is>
      </c>
      <c r="E44" s="4" t="n">
        <v>9</v>
      </c>
      <c r="F44" s="2" t="inlineStr">
        <is>
          <t>Soare plin (min. 6 h)</t>
        </is>
      </c>
      <c r="G44" s="2" t="inlineStr">
        <is>
          <t>3–4 m</t>
        </is>
      </c>
      <c r="H44" s="2" t="inlineStr">
        <is>
          <t>C</t>
        </is>
      </c>
      <c r="I44" s="5" t="n">
        <v>8</v>
      </c>
      <c r="J44" s="5" t="n">
        <v>2</v>
      </c>
      <c r="K44" s="5">
        <f>E44*I44*J44</f>
        <v/>
      </c>
      <c r="L44" s="5" t="n">
        <v>9</v>
      </c>
      <c r="M44" s="6" t="inlineStr"/>
    </row>
    <row r="45">
      <c r="A45" s="2" t="inlineStr">
        <is>
          <t>S3</t>
        </is>
      </c>
      <c r="B45" s="2" t="inlineStr">
        <is>
          <t>Iasomie falsă</t>
        </is>
      </c>
      <c r="C45" s="3" t="inlineStr">
        <is>
          <t>Philadelphus coronarius</t>
        </is>
      </c>
      <c r="D45" s="2" t="inlineStr">
        <is>
          <t>Arbust</t>
        </is>
      </c>
      <c r="E45" s="4" t="n">
        <v>4</v>
      </c>
      <c r="F45" s="2" t="inlineStr">
        <is>
          <t>Soare–semiumbră</t>
        </is>
      </c>
      <c r="G45" s="2" t="inlineStr">
        <is>
          <t>3,0 m</t>
        </is>
      </c>
      <c r="H45" s="2" t="inlineStr">
        <is>
          <t>C</t>
        </is>
      </c>
      <c r="I45" s="5" t="n">
        <v>8</v>
      </c>
      <c r="J45" s="5" t="n">
        <v>2</v>
      </c>
      <c r="K45" s="5">
        <f>E45*I45*J45</f>
        <v/>
      </c>
      <c r="L45" s="5" t="n">
        <v>4</v>
      </c>
      <c r="M45" s="6" t="inlineStr"/>
    </row>
    <row r="46">
      <c r="A46" s="2" t="inlineStr">
        <is>
          <t>S50</t>
        </is>
      </c>
      <c r="B46" s="2" t="inlineStr">
        <is>
          <t>Kerria</t>
        </is>
      </c>
      <c r="C46" s="3" t="inlineStr">
        <is>
          <t>Kerria japonica</t>
        </is>
      </c>
      <c r="D46" s="2" t="inlineStr">
        <is>
          <t>Arbust</t>
        </is>
      </c>
      <c r="E46" s="4" t="n">
        <v>8</v>
      </c>
      <c r="F46" s="2" t="inlineStr">
        <is>
          <t>Semiumbră–umbră</t>
        </is>
      </c>
      <c r="G46" s="2" t="inlineStr">
        <is>
          <t>2,0–2,5 m</t>
        </is>
      </c>
      <c r="H46" s="2" t="inlineStr">
        <is>
          <t>C</t>
        </is>
      </c>
      <c r="I46" s="5" t="n">
        <v>5</v>
      </c>
      <c r="J46" s="5" t="n">
        <v>2</v>
      </c>
      <c r="K46" s="5">
        <f>E46*I46*J46</f>
        <v/>
      </c>
      <c r="L46" s="5" t="n">
        <v>8</v>
      </c>
      <c r="M46" s="6" t="inlineStr"/>
    </row>
    <row r="47">
      <c r="A47" s="2" t="inlineStr">
        <is>
          <t>S34</t>
        </is>
      </c>
      <c r="B47" s="2" t="inlineStr">
        <is>
          <t>Lemn câinesc</t>
        </is>
      </c>
      <c r="C47" s="3" t="inlineStr">
        <is>
          <t>Ligustrum ovalifolium</t>
        </is>
      </c>
      <c r="D47" s="2" t="inlineStr">
        <is>
          <t>Arbust</t>
        </is>
      </c>
      <c r="E47" s="4" t="n">
        <v>168</v>
      </c>
      <c r="F47" s="2" t="inlineStr">
        <is>
          <t>Soare–semiumbră</t>
        </is>
      </c>
      <c r="G47" s="2" t="inlineStr">
        <is>
          <t>3–4 m</t>
        </is>
      </c>
      <c r="H47" s="2" t="inlineStr">
        <is>
          <t>B</t>
        </is>
      </c>
      <c r="I47" s="5" t="n">
        <v>5</v>
      </c>
      <c r="J47" s="5" t="n">
        <v>1</v>
      </c>
      <c r="K47" s="5">
        <f>E47*I47*J47</f>
        <v/>
      </c>
      <c r="L47" s="5" t="n">
        <v>0</v>
      </c>
      <c r="M47" s="7" t="inlineStr">
        <is>
          <t>Gard viu: desenat ca linie continuă, fără simbol pentru fiecare exemplar.</t>
        </is>
      </c>
    </row>
    <row r="48">
      <c r="A48" s="2" t="inlineStr">
        <is>
          <t>S21</t>
        </is>
      </c>
      <c r="B48" s="2" t="inlineStr">
        <is>
          <t>Liliac</t>
        </is>
      </c>
      <c r="C48" s="3" t="inlineStr">
        <is>
          <t>Syringa vulgaris</t>
        </is>
      </c>
      <c r="D48" s="2" t="inlineStr">
        <is>
          <t>Arbust</t>
        </is>
      </c>
      <c r="E48" s="4" t="n">
        <v>2</v>
      </c>
      <c r="F48" s="2" t="inlineStr">
        <is>
          <t>Soare plin (min. 6 h)</t>
        </is>
      </c>
      <c r="G48" s="2" t="inlineStr">
        <is>
          <t>4–5 m</t>
        </is>
      </c>
      <c r="H48" s="2" t="inlineStr">
        <is>
          <t>C</t>
        </is>
      </c>
      <c r="I48" s="5" t="n">
        <v>10</v>
      </c>
      <c r="J48" s="5" t="n">
        <v>2</v>
      </c>
      <c r="K48" s="5">
        <f>E48*I48*J48</f>
        <v/>
      </c>
      <c r="L48" s="5" t="n">
        <v>2</v>
      </c>
      <c r="M48" s="6" t="inlineStr"/>
    </row>
    <row r="49">
      <c r="A49" s="2" t="inlineStr">
        <is>
          <t>S80</t>
        </is>
      </c>
      <c r="B49" s="2" t="inlineStr">
        <is>
          <t>Liliac de vară</t>
        </is>
      </c>
      <c r="C49" s="3" t="inlineStr">
        <is>
          <t>Buddleja davidii</t>
        </is>
      </c>
      <c r="D49" s="2" t="inlineStr">
        <is>
          <t>Arbust</t>
        </is>
      </c>
      <c r="E49" s="4" t="n">
        <v>6</v>
      </c>
      <c r="F49" s="2" t="inlineStr">
        <is>
          <t>Soare plin (min. 6 h)</t>
        </is>
      </c>
      <c r="G49" s="2" t="inlineStr">
        <is>
          <t>2,5–3,0 m</t>
        </is>
      </c>
      <c r="H49" s="2" t="inlineStr">
        <is>
          <t>C</t>
        </is>
      </c>
      <c r="I49" s="5" t="n">
        <v>8</v>
      </c>
      <c r="J49" s="5" t="n">
        <v>2</v>
      </c>
      <c r="K49" s="5">
        <f>E49*I49*J49</f>
        <v/>
      </c>
      <c r="L49" s="5" t="n">
        <v>6</v>
      </c>
      <c r="M49" s="6" t="inlineStr"/>
    </row>
    <row r="50">
      <c r="A50" s="2" t="inlineStr">
        <is>
          <t>S17</t>
        </is>
      </c>
      <c r="B50" s="2" t="inlineStr">
        <is>
          <t>Oțetar</t>
        </is>
      </c>
      <c r="C50" s="3" t="inlineStr">
        <is>
          <t>Rhus typhina</t>
        </is>
      </c>
      <c r="D50" s="2" t="inlineStr">
        <is>
          <t>Arbust</t>
        </is>
      </c>
      <c r="E50" s="4" t="n">
        <v>1</v>
      </c>
      <c r="F50" s="2" t="inlineStr">
        <is>
          <t>Soare plin (min. 6 h)</t>
        </is>
      </c>
      <c r="G50" s="2" t="inlineStr">
        <is>
          <t>4–5 m</t>
        </is>
      </c>
      <c r="H50" s="2" t="inlineStr">
        <is>
          <t>A</t>
        </is>
      </c>
      <c r="I50" s="5" t="n">
        <v>8</v>
      </c>
      <c r="J50" s="5" t="n">
        <v>1</v>
      </c>
      <c r="K50" s="5">
        <f>E50*I50*J50</f>
        <v/>
      </c>
      <c r="L50" s="5" t="n">
        <v>1</v>
      </c>
      <c r="M50" s="7" t="inlineStr">
        <is>
          <t>Drajonează agresiv: cere limitator de rădăcină.</t>
        </is>
      </c>
    </row>
    <row r="51">
      <c r="A51" s="2" t="inlineStr">
        <is>
          <t>S11</t>
        </is>
      </c>
      <c r="B51" s="2" t="inlineStr">
        <is>
          <t>Photinia</t>
        </is>
      </c>
      <c r="C51" s="3" t="inlineStr">
        <is>
          <t>Photinia × fraseri</t>
        </is>
      </c>
      <c r="D51" s="2" t="inlineStr">
        <is>
          <t>Arbust</t>
        </is>
      </c>
      <c r="E51" s="4" t="n">
        <v>76</v>
      </c>
      <c r="F51" s="2" t="inlineStr">
        <is>
          <t>Soare–semiumbră</t>
        </is>
      </c>
      <c r="G51" s="2" t="inlineStr">
        <is>
          <t>3–4 m</t>
        </is>
      </c>
      <c r="H51" s="2" t="inlineStr">
        <is>
          <t>B</t>
        </is>
      </c>
      <c r="I51" s="5" t="n">
        <v>8</v>
      </c>
      <c r="J51" s="5" t="n">
        <v>1</v>
      </c>
      <c r="K51" s="5">
        <f>E51*I51*J51</f>
        <v/>
      </c>
      <c r="L51" s="5" t="n">
        <v>0</v>
      </c>
      <c r="M51" s="7" t="inlineStr">
        <is>
          <t>Gard viu: desenat ca linie continuă, fără simbol pentru fiecare exemplar.</t>
        </is>
      </c>
    </row>
    <row r="52">
      <c r="A52" s="2" t="inlineStr">
        <is>
          <t>S28</t>
        </is>
      </c>
      <c r="B52" s="2" t="inlineStr">
        <is>
          <t>Ploaie de aur</t>
        </is>
      </c>
      <c r="C52" s="3" t="inlineStr">
        <is>
          <t>Forsythia × intermedia</t>
        </is>
      </c>
      <c r="D52" s="2" t="inlineStr">
        <is>
          <t>Arbust</t>
        </is>
      </c>
      <c r="E52" s="4" t="n">
        <v>15</v>
      </c>
      <c r="F52" s="2" t="inlineStr">
        <is>
          <t>Soare plin (min. 6 h)</t>
        </is>
      </c>
      <c r="G52" s="2" t="inlineStr">
        <is>
          <t>3,0 m</t>
        </is>
      </c>
      <c r="H52" s="2" t="inlineStr">
        <is>
          <t>C</t>
        </is>
      </c>
      <c r="I52" s="5" t="n">
        <v>8</v>
      </c>
      <c r="J52" s="5" t="n">
        <v>2</v>
      </c>
      <c r="K52" s="5">
        <f>E52*I52*J52</f>
        <v/>
      </c>
      <c r="L52" s="5" t="n">
        <v>15</v>
      </c>
      <c r="M52" s="6" t="inlineStr"/>
    </row>
    <row r="53">
      <c r="A53" s="2" t="inlineStr">
        <is>
          <t>S5</t>
        </is>
      </c>
      <c r="B53" s="2" t="inlineStr">
        <is>
          <t>Păducel</t>
        </is>
      </c>
      <c r="C53" s="3" t="inlineStr">
        <is>
          <t>Crataegus monogyna</t>
        </is>
      </c>
      <c r="D53" s="2" t="inlineStr">
        <is>
          <t>Arbust</t>
        </is>
      </c>
      <c r="E53" s="4" t="n">
        <v>7</v>
      </c>
      <c r="F53" s="2" t="inlineStr">
        <is>
          <t>Soare–semiumbră</t>
        </is>
      </c>
      <c r="G53" s="2" t="inlineStr">
        <is>
          <t>6–8 m</t>
        </is>
      </c>
      <c r="H53" s="2" t="inlineStr">
        <is>
          <t>A</t>
        </is>
      </c>
      <c r="I53" s="5" t="n">
        <v>5</v>
      </c>
      <c r="J53" s="5" t="n">
        <v>1</v>
      </c>
      <c r="K53" s="5">
        <f>E53*I53*J53</f>
        <v/>
      </c>
      <c r="L53" s="5" t="n">
        <v>7</v>
      </c>
      <c r="M53" s="6" t="inlineStr"/>
    </row>
    <row r="54">
      <c r="A54" s="2" t="inlineStr">
        <is>
          <t>S10</t>
        </is>
      </c>
      <c r="B54" s="2" t="inlineStr">
        <is>
          <t>Salcâm galben</t>
        </is>
      </c>
      <c r="C54" s="3" t="inlineStr">
        <is>
          <t>Laburnum anagyroides</t>
        </is>
      </c>
      <c r="D54" s="2" t="inlineStr">
        <is>
          <t>Arbust</t>
        </is>
      </c>
      <c r="E54" s="4" t="n">
        <v>1</v>
      </c>
      <c r="F54" s="2" t="inlineStr">
        <is>
          <t>Soare–semiumbră</t>
        </is>
      </c>
      <c r="G54" s="2" t="inlineStr">
        <is>
          <t>5–7 m</t>
        </is>
      </c>
      <c r="H54" s="2" t="inlineStr">
        <is>
          <t>D</t>
        </is>
      </c>
      <c r="I54" s="5" t="n">
        <v>15</v>
      </c>
      <c r="J54" s="5" t="n">
        <v>2</v>
      </c>
      <c r="K54" s="5">
        <f>E54*I54*J54</f>
        <v/>
      </c>
      <c r="L54" s="5" t="n">
        <v>1</v>
      </c>
      <c r="M54" s="7" t="inlineStr">
        <is>
          <t>Toate părțile plantei sunt toxice.</t>
        </is>
      </c>
    </row>
    <row r="55">
      <c r="A55" s="2" t="inlineStr">
        <is>
          <t>S4</t>
        </is>
      </c>
      <c r="B55" s="2" t="inlineStr">
        <is>
          <t>Scumpie</t>
        </is>
      </c>
      <c r="C55" s="3" t="inlineStr">
        <is>
          <t>Cotinus coggygria</t>
        </is>
      </c>
      <c r="D55" s="2" t="inlineStr">
        <is>
          <t>Arbust</t>
        </is>
      </c>
      <c r="E55" s="4" t="n">
        <v>1</v>
      </c>
      <c r="F55" s="2" t="inlineStr">
        <is>
          <t>Soare plin (min. 6 h)</t>
        </is>
      </c>
      <c r="G55" s="2" t="inlineStr">
        <is>
          <t>4–5 m</t>
        </is>
      </c>
      <c r="H55" s="2" t="inlineStr">
        <is>
          <t>A</t>
        </is>
      </c>
      <c r="I55" s="5" t="n">
        <v>8</v>
      </c>
      <c r="J55" s="5" t="n">
        <v>1</v>
      </c>
      <c r="K55" s="5">
        <f>E55*I55*J55</f>
        <v/>
      </c>
      <c r="L55" s="5" t="n">
        <v>1</v>
      </c>
      <c r="M55" s="6" t="inlineStr"/>
    </row>
    <row r="56">
      <c r="A56" s="2" t="inlineStr">
        <is>
          <t>S18</t>
        </is>
      </c>
      <c r="B56" s="2" t="inlineStr">
        <is>
          <t>Soc</t>
        </is>
      </c>
      <c r="C56" s="3" t="inlineStr">
        <is>
          <t>Sambucus nigra</t>
        </is>
      </c>
      <c r="D56" s="2" t="inlineStr">
        <is>
          <t>Arbust</t>
        </is>
      </c>
      <c r="E56" s="4" t="n">
        <v>2</v>
      </c>
      <c r="F56" s="2" t="inlineStr">
        <is>
          <t>Soare–semiumbră</t>
        </is>
      </c>
      <c r="G56" s="2" t="inlineStr">
        <is>
          <t>4–6 m</t>
        </is>
      </c>
      <c r="H56" s="2" t="inlineStr">
        <is>
          <t>C</t>
        </is>
      </c>
      <c r="I56" s="5" t="n">
        <v>15</v>
      </c>
      <c r="J56" s="5" t="n">
        <v>2</v>
      </c>
      <c r="K56" s="5">
        <f>E56*I56*J56</f>
        <v/>
      </c>
      <c r="L56" s="5" t="n">
        <v>2</v>
      </c>
      <c r="M56" s="6" t="inlineStr"/>
    </row>
    <row r="57">
      <c r="A57" s="2" t="inlineStr">
        <is>
          <t>S69</t>
        </is>
      </c>
      <c r="B57" s="2" t="inlineStr">
        <is>
          <t>Trandafir de Rescht</t>
        </is>
      </c>
      <c r="C57" s="3" t="inlineStr">
        <is>
          <t>Rosa 'de Rescht'</t>
        </is>
      </c>
      <c r="D57" s="2" t="inlineStr">
        <is>
          <t>Arbust</t>
        </is>
      </c>
      <c r="E57" s="4" t="n">
        <v>4</v>
      </c>
      <c r="F57" s="2" t="inlineStr">
        <is>
          <t>Soare plin (min. 6 h)</t>
        </is>
      </c>
      <c r="G57" s="2" t="inlineStr">
        <is>
          <t>1,2–1,5 m</t>
        </is>
      </c>
      <c r="H57" s="2" t="inlineStr">
        <is>
          <t>C</t>
        </is>
      </c>
      <c r="I57" s="5" t="n">
        <v>10</v>
      </c>
      <c r="J57" s="5" t="n">
        <v>2</v>
      </c>
      <c r="K57" s="5">
        <f>E57*I57*J57</f>
        <v/>
      </c>
      <c r="L57" s="5" t="n">
        <v>4</v>
      </c>
      <c r="M57" s="6" t="inlineStr"/>
    </row>
    <row r="58">
      <c r="A58" s="2" t="inlineStr">
        <is>
          <t>ar2</t>
        </is>
      </c>
      <c r="B58" s="2" t="inlineStr">
        <is>
          <t>Lavandă</t>
        </is>
      </c>
      <c r="C58" s="3" t="inlineStr">
        <is>
          <t>Lavandula angustifolia</t>
        </is>
      </c>
      <c r="D58" s="2" t="inlineStr">
        <is>
          <t>Aromatică</t>
        </is>
      </c>
      <c r="E58" s="4" t="n">
        <v>10</v>
      </c>
      <c r="F58" s="2" t="inlineStr">
        <is>
          <t>Soare plin (min. 6 h)</t>
        </is>
      </c>
      <c r="G58" s="2" t="inlineStr">
        <is>
          <t>0,60–0,80 m</t>
        </is>
      </c>
      <c r="H58" s="2" t="inlineStr">
        <is>
          <t>A</t>
        </is>
      </c>
      <c r="I58" s="5" t="n">
        <v>2</v>
      </c>
      <c r="J58" s="5" t="n">
        <v>1</v>
      </c>
      <c r="K58" s="5">
        <f>E58*I58*J58</f>
        <v/>
      </c>
      <c r="L58" s="5" t="n">
        <v>10</v>
      </c>
      <c r="M58" s="6" t="inlineStr"/>
    </row>
    <row r="59">
      <c r="A59" s="2" t="inlineStr">
        <is>
          <t>ar9</t>
        </is>
      </c>
      <c r="B59" s="2" t="inlineStr">
        <is>
          <t>Roiniță</t>
        </is>
      </c>
      <c r="C59" s="3" t="inlineStr">
        <is>
          <t>Melissa officinalis</t>
        </is>
      </c>
      <c r="D59" s="2" t="inlineStr">
        <is>
          <t>Aromatică</t>
        </is>
      </c>
      <c r="E59" s="4" t="n">
        <v>3</v>
      </c>
      <c r="F59" s="2" t="inlineStr">
        <is>
          <t>Soare–semiumbră</t>
        </is>
      </c>
      <c r="G59" s="2" t="inlineStr">
        <is>
          <t>0,80–1,00 m</t>
        </is>
      </c>
      <c r="H59" s="2" t="inlineStr">
        <is>
          <t>A</t>
        </is>
      </c>
      <c r="I59" s="5" t="n">
        <v>3</v>
      </c>
      <c r="J59" s="5" t="n">
        <v>1</v>
      </c>
      <c r="K59" s="5">
        <f>E59*I59*J59</f>
        <v/>
      </c>
      <c r="L59" s="5" t="n">
        <v>3</v>
      </c>
      <c r="M59" s="6" t="inlineStr"/>
    </row>
    <row r="60">
      <c r="A60" s="2" t="inlineStr">
        <is>
          <t>ar6</t>
        </is>
      </c>
      <c r="B60" s="2" t="inlineStr">
        <is>
          <t>Rozmarin</t>
        </is>
      </c>
      <c r="C60" s="3" t="inlineStr">
        <is>
          <t>Salvia rosmarinus</t>
        </is>
      </c>
      <c r="D60" s="2" t="inlineStr">
        <is>
          <t>Aromatică</t>
        </is>
      </c>
      <c r="E60" s="4" t="n">
        <v>2</v>
      </c>
      <c r="F60" s="2" t="inlineStr">
        <is>
          <t>Soare plin (min. 6 h)</t>
        </is>
      </c>
      <c r="G60" s="2" t="inlineStr">
        <is>
          <t>1,20–1,50 m</t>
        </is>
      </c>
      <c r="H60" s="2" t="inlineStr">
        <is>
          <t>A</t>
        </is>
      </c>
      <c r="I60" s="5" t="n">
        <v>2</v>
      </c>
      <c r="J60" s="5" t="n">
        <v>1</v>
      </c>
      <c r="K60" s="5">
        <f>E60*I60*J60</f>
        <v/>
      </c>
      <c r="L60" s="5" t="n">
        <v>2</v>
      </c>
      <c r="M60" s="7" t="inlineStr">
        <is>
          <t>La limita de rezistență la ger: poziție adăpostită, drenaj bun.</t>
        </is>
      </c>
    </row>
    <row r="61">
      <c r="A61" s="2" t="inlineStr">
        <is>
          <t>ar7</t>
        </is>
      </c>
      <c r="B61" s="2" t="inlineStr">
        <is>
          <t>Salvie</t>
        </is>
      </c>
      <c r="C61" s="3" t="inlineStr">
        <is>
          <t>Salvia officinalis</t>
        </is>
      </c>
      <c r="D61" s="2" t="inlineStr">
        <is>
          <t>Aromatică</t>
        </is>
      </c>
      <c r="E61" s="4" t="n">
        <v>2</v>
      </c>
      <c r="F61" s="2" t="inlineStr">
        <is>
          <t>Soare plin (min. 6 h)</t>
        </is>
      </c>
      <c r="G61" s="2" t="inlineStr">
        <is>
          <t>0,70–0,80 m</t>
        </is>
      </c>
      <c r="H61" s="2" t="inlineStr">
        <is>
          <t>A</t>
        </is>
      </c>
      <c r="I61" s="5" t="n">
        <v>2</v>
      </c>
      <c r="J61" s="5" t="n">
        <v>1</v>
      </c>
      <c r="K61" s="5">
        <f>E61*I61*J61</f>
        <v/>
      </c>
      <c r="L61" s="5" t="n">
        <v>2</v>
      </c>
      <c r="M61" s="6" t="inlineStr"/>
    </row>
    <row r="62">
      <c r="A62" s="2" t="inlineStr">
        <is>
          <t>ia19</t>
        </is>
      </c>
      <c r="B62" s="2" t="inlineStr">
        <is>
          <t>Fenicul</t>
        </is>
      </c>
      <c r="C62" s="3" t="inlineStr">
        <is>
          <t>Foeniculum vulgare</t>
        </is>
      </c>
      <c r="D62" s="2" t="inlineStr">
        <is>
          <t>Ierbacee</t>
        </is>
      </c>
      <c r="E62" s="4" t="n">
        <v>2</v>
      </c>
      <c r="F62" s="2" t="inlineStr">
        <is>
          <t>Soare plin (min. 6 h)</t>
        </is>
      </c>
      <c r="G62" s="2" t="inlineStr">
        <is>
          <t>2,00 m</t>
        </is>
      </c>
      <c r="H62" s="2" t="inlineStr">
        <is>
          <t>A</t>
        </is>
      </c>
      <c r="I62" s="5" t="n">
        <v>3</v>
      </c>
      <c r="J62" s="5" t="n">
        <v>1</v>
      </c>
      <c r="K62" s="5">
        <f>E62*I62*J62</f>
        <v/>
      </c>
      <c r="L62" s="5" t="n">
        <v>2</v>
      </c>
      <c r="M62" s="6" t="inlineStr"/>
    </row>
    <row r="63">
      <c r="A63" s="2" t="inlineStr">
        <is>
          <t>ip44</t>
        </is>
      </c>
      <c r="B63" s="2" t="inlineStr">
        <is>
          <t>Isop</t>
        </is>
      </c>
      <c r="C63" s="3" t="inlineStr">
        <is>
          <t>Hyssopus officinalis</t>
        </is>
      </c>
      <c r="D63" s="2" t="inlineStr">
        <is>
          <t>Ierbacee</t>
        </is>
      </c>
      <c r="E63" s="4" t="n">
        <v>2</v>
      </c>
      <c r="F63" s="2" t="inlineStr">
        <is>
          <t>Soare plin (min. 6 h)</t>
        </is>
      </c>
      <c r="G63" s="2" t="inlineStr">
        <is>
          <t>0,60 m</t>
        </is>
      </c>
      <c r="H63" s="2" t="inlineStr">
        <is>
          <t>A</t>
        </is>
      </c>
      <c r="I63" s="5" t="n">
        <v>2</v>
      </c>
      <c r="J63" s="5" t="n">
        <v>1</v>
      </c>
      <c r="K63" s="5">
        <f>E63*I63*J63</f>
        <v/>
      </c>
      <c r="L63" s="5" t="n">
        <v>2</v>
      </c>
      <c r="M63" s="6" t="inlineStr"/>
    </row>
    <row r="64">
      <c r="A64" s="2" t="inlineStr">
        <is>
          <t>ip102</t>
        </is>
      </c>
      <c r="B64" s="2" t="inlineStr">
        <is>
          <t>Lofantus</t>
        </is>
      </c>
      <c r="C64" s="3" t="inlineStr">
        <is>
          <t>Agastache foeniculum</t>
        </is>
      </c>
      <c r="D64" s="2" t="inlineStr">
        <is>
          <t>Ierbacee</t>
        </is>
      </c>
      <c r="E64" s="4" t="n">
        <v>5</v>
      </c>
      <c r="F64" s="2" t="inlineStr">
        <is>
          <t>Soare plin (min. 6 h)</t>
        </is>
      </c>
      <c r="G64" s="2" t="inlineStr">
        <is>
          <t>1,20 m</t>
        </is>
      </c>
      <c r="H64" s="2" t="inlineStr">
        <is>
          <t>A</t>
        </is>
      </c>
      <c r="I64" s="5" t="n">
        <v>3</v>
      </c>
      <c r="J64" s="5" t="n">
        <v>1</v>
      </c>
      <c r="K64" s="5">
        <f>E64*I64*J64</f>
        <v/>
      </c>
      <c r="L64" s="5" t="n">
        <v>5</v>
      </c>
      <c r="M64" s="6" t="inlineStr"/>
    </row>
    <row r="65">
      <c r="A65" s="2" t="inlineStr">
        <is>
          <t>ip126</t>
        </is>
      </c>
      <c r="B65" s="2" t="inlineStr">
        <is>
          <t>Potentilla</t>
        </is>
      </c>
      <c r="C65" s="3" t="inlineStr">
        <is>
          <t>Potentilla fruticosa</t>
        </is>
      </c>
      <c r="D65" s="2" t="inlineStr">
        <is>
          <t>Ierbacee</t>
        </is>
      </c>
      <c r="E65" s="4" t="n">
        <v>3</v>
      </c>
      <c r="F65" s="2" t="inlineStr">
        <is>
          <t>Soare plin (min. 6 h)</t>
        </is>
      </c>
      <c r="G65" s="2" t="inlineStr">
        <is>
          <t>1,00–1,20 m</t>
        </is>
      </c>
      <c r="H65" s="2" t="inlineStr">
        <is>
          <t>A</t>
        </is>
      </c>
      <c r="I65" s="5" t="n">
        <v>3</v>
      </c>
      <c r="J65" s="5" t="n">
        <v>1</v>
      </c>
      <c r="K65" s="5">
        <f>E65*I65*J65</f>
        <v/>
      </c>
      <c r="L65" s="5" t="n">
        <v>3</v>
      </c>
      <c r="M65" s="6" t="inlineStr"/>
    </row>
    <row r="66">
      <c r="A66" s="2" t="inlineStr">
        <is>
          <t>ip19</t>
        </is>
      </c>
      <c r="B66" s="2" t="inlineStr">
        <is>
          <t>Tătăneasă</t>
        </is>
      </c>
      <c r="C66" s="3" t="inlineStr">
        <is>
          <t>Symphytum officinale</t>
        </is>
      </c>
      <c r="D66" s="2" t="inlineStr">
        <is>
          <t>Ierbacee</t>
        </is>
      </c>
      <c r="E66" s="4" t="n">
        <v>4</v>
      </c>
      <c r="F66" s="2" t="inlineStr">
        <is>
          <t>Soare–semiumbră</t>
        </is>
      </c>
      <c r="G66" s="2" t="inlineStr">
        <is>
          <t>1,20 m</t>
        </is>
      </c>
      <c r="H66" s="2" t="inlineStr">
        <is>
          <t>A</t>
        </is>
      </c>
      <c r="I66" s="5" t="n">
        <v>5</v>
      </c>
      <c r="J66" s="5" t="n">
        <v>1</v>
      </c>
      <c r="K66" s="5">
        <f>E66*I66*J66</f>
        <v/>
      </c>
      <c r="L66" s="5" t="n">
        <v>4</v>
      </c>
      <c r="M66" s="6" t="inlineStr"/>
    </row>
    <row r="67">
      <c r="A67" s="8" t="inlineStr">
        <is>
          <t>TOTAL</t>
        </is>
      </c>
      <c r="B67" s="8" t="n"/>
      <c r="C67" s="8" t="n"/>
      <c r="D67" s="8">
        <f>COUNTA(A2:A66) &amp; " specii"</f>
        <v/>
      </c>
      <c r="E67" s="9">
        <f>SUM(E2:E66)</f>
        <v/>
      </c>
      <c r="F67" s="8" t="n"/>
      <c r="G67" s="8" t="n"/>
      <c r="H67" s="8" t="n"/>
      <c r="I67" s="9" t="n"/>
      <c r="J67" s="9" t="n"/>
      <c r="K67" s="9">
        <f>SUM(K2:K66)</f>
        <v/>
      </c>
      <c r="L67" s="9">
        <f>SUM(L2:L66)</f>
        <v/>
      </c>
      <c r="M67" s="8" t="n"/>
    </row>
  </sheetData>
  <autoFilter ref="A1:M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0" customWidth="1" min="1" max="1"/>
    <col width="10" customWidth="1" min="2" max="2"/>
    <col width="18" customWidth="1" min="3" max="3"/>
    <col width="11" customWidth="1" min="4" max="4"/>
    <col width="26" customWidth="1" min="5" max="5"/>
  </cols>
  <sheetData>
    <row r="1">
      <c r="A1" s="10" t="inlineStr">
        <is>
          <t>Sinteză pe categorii</t>
        </is>
      </c>
    </row>
    <row r="3" ht="30" customHeight="1">
      <c r="A3" s="1" t="inlineStr">
        <is>
          <t>Categorie</t>
        </is>
      </c>
      <c r="B3" s="1" t="inlineStr">
        <is>
          <t>Specii</t>
        </is>
      </c>
      <c r="C3" s="1" t="inlineStr">
        <is>
          <t>Cantitate (buc.)</t>
        </is>
      </c>
      <c r="D3" s="1" t="inlineStr">
        <is>
          <t>Pondere</t>
        </is>
      </c>
      <c r="E3" s="1" t="inlineStr">
        <is>
          <t>Consum săptămânal vara (l)</t>
        </is>
      </c>
    </row>
    <row r="4">
      <c r="A4" s="11" t="inlineStr">
        <is>
          <t>Arbore</t>
        </is>
      </c>
      <c r="B4" s="5">
        <f>COUNTIF(Plante!$D$2:$D$66,$A4)</f>
        <v/>
      </c>
      <c r="C4" s="5">
        <f>SUMIF(Plante!$D$2:$D$66,$A4,Plante!$E$2:$E$66)</f>
        <v/>
      </c>
      <c r="D4" s="12">
        <f>IFERROR($C4/$C$9,0)</f>
        <v/>
      </c>
      <c r="E4" s="5">
        <f>SUMIF(Plante!$D$2:$D$66,$A4,Plante!$K$2:$K$66)</f>
        <v/>
      </c>
    </row>
    <row r="5">
      <c r="A5" s="11" t="inlineStr">
        <is>
          <t>Fructifer</t>
        </is>
      </c>
      <c r="B5" s="5">
        <f>COUNTIF(Plante!$D$2:$D$66,$A5)</f>
        <v/>
      </c>
      <c r="C5" s="5">
        <f>SUMIF(Plante!$D$2:$D$66,$A5,Plante!$E$2:$E$66)</f>
        <v/>
      </c>
      <c r="D5" s="12">
        <f>IFERROR($C5/$C$9,0)</f>
        <v/>
      </c>
      <c r="E5" s="5">
        <f>SUMIF(Plante!$D$2:$D$66,$A5,Plante!$K$2:$K$66)</f>
        <v/>
      </c>
    </row>
    <row r="6">
      <c r="A6" s="11" t="inlineStr">
        <is>
          <t>Arbust</t>
        </is>
      </c>
      <c r="B6" s="5">
        <f>COUNTIF(Plante!$D$2:$D$66,$A6)</f>
        <v/>
      </c>
      <c r="C6" s="5">
        <f>SUMIF(Plante!$D$2:$D$66,$A6,Plante!$E$2:$E$66)</f>
        <v/>
      </c>
      <c r="D6" s="12">
        <f>IFERROR($C6/$C$9,0)</f>
        <v/>
      </c>
      <c r="E6" s="5">
        <f>SUMIF(Plante!$D$2:$D$66,$A6,Plante!$K$2:$K$66)</f>
        <v/>
      </c>
    </row>
    <row r="7">
      <c r="A7" s="11" t="inlineStr">
        <is>
          <t>Aromatică</t>
        </is>
      </c>
      <c r="B7" s="5">
        <f>COUNTIF(Plante!$D$2:$D$66,$A7)</f>
        <v/>
      </c>
      <c r="C7" s="5">
        <f>SUMIF(Plante!$D$2:$D$66,$A7,Plante!$E$2:$E$66)</f>
        <v/>
      </c>
      <c r="D7" s="12">
        <f>IFERROR($C7/$C$9,0)</f>
        <v/>
      </c>
      <c r="E7" s="5">
        <f>SUMIF(Plante!$D$2:$D$66,$A7,Plante!$K$2:$K$66)</f>
        <v/>
      </c>
    </row>
    <row r="8">
      <c r="A8" s="11" t="inlineStr">
        <is>
          <t>Ierbacee</t>
        </is>
      </c>
      <c r="B8" s="5">
        <f>COUNTIF(Plante!$D$2:$D$66,$A8)</f>
        <v/>
      </c>
      <c r="C8" s="5">
        <f>SUMIF(Plante!$D$2:$D$66,$A8,Plante!$E$2:$E$66)</f>
        <v/>
      </c>
      <c r="D8" s="12">
        <f>IFERROR($C8/$C$9,0)</f>
        <v/>
      </c>
      <c r="E8" s="5">
        <f>SUMIF(Plante!$D$2:$D$66,$A8,Plante!$K$2:$K$66)</f>
        <v/>
      </c>
    </row>
    <row r="9">
      <c r="A9" s="13" t="inlineStr">
        <is>
          <t>Total</t>
        </is>
      </c>
      <c r="B9" s="14">
        <f>SUM(B4:B8)</f>
        <v/>
      </c>
      <c r="C9" s="14">
        <f>SUM(C4:C8)</f>
        <v/>
      </c>
      <c r="D9" s="15">
        <f>IFERROR($C9/$C9,0)</f>
        <v/>
      </c>
      <c r="E9" s="14">
        <f>SUM(E4:E8)</f>
        <v/>
      </c>
    </row>
    <row r="11">
      <c r="A11" s="10" t="inlineStr">
        <is>
          <t>Sinteză pe cerința de lumină</t>
        </is>
      </c>
    </row>
    <row r="12" ht="30" customHeight="1">
      <c r="A12" s="1" t="inlineStr">
        <is>
          <t>Cerință de lumină</t>
        </is>
      </c>
      <c r="B12" s="1" t="inlineStr">
        <is>
          <t>Specii</t>
        </is>
      </c>
      <c r="C12" s="1" t="inlineStr">
        <is>
          <t>Cantitate (buc.)</t>
        </is>
      </c>
      <c r="D12" s="1" t="inlineStr">
        <is>
          <t>Pondere</t>
        </is>
      </c>
      <c r="E12" s="1" t="inlineStr">
        <is>
          <t>Consum săptămânal vara (l)</t>
        </is>
      </c>
    </row>
    <row r="13">
      <c r="A13" s="11" t="inlineStr">
        <is>
          <t>Soare plin (min. 6 h)</t>
        </is>
      </c>
      <c r="B13" s="5">
        <f>COUNTIF(Plante!$F$2:$F$66,$A13)</f>
        <v/>
      </c>
      <c r="C13" s="5">
        <f>SUMIF(Plante!$F$2:$F$66,$A13,Plante!$E$2:$E$66)</f>
        <v/>
      </c>
      <c r="D13" s="12">
        <f>IFERROR($C13/$C$16,0)</f>
        <v/>
      </c>
      <c r="E13" s="5">
        <f>SUMIF(Plante!$F$2:$F$66,$A13,Plante!$K$2:$K$66)</f>
        <v/>
      </c>
    </row>
    <row r="14">
      <c r="A14" s="11" t="inlineStr">
        <is>
          <t>Soare–semiumbră</t>
        </is>
      </c>
      <c r="B14" s="5">
        <f>COUNTIF(Plante!$F$2:$F$66,$A14)</f>
        <v/>
      </c>
      <c r="C14" s="5">
        <f>SUMIF(Plante!$F$2:$F$66,$A14,Plante!$E$2:$E$66)</f>
        <v/>
      </c>
      <c r="D14" s="12">
        <f>IFERROR($C14/$C$16,0)</f>
        <v/>
      </c>
      <c r="E14" s="5">
        <f>SUMIF(Plante!$F$2:$F$66,$A14,Plante!$K$2:$K$66)</f>
        <v/>
      </c>
    </row>
    <row r="15">
      <c r="A15" s="11" t="inlineStr">
        <is>
          <t>Semiumbră–umbră</t>
        </is>
      </c>
      <c r="B15" s="5">
        <f>COUNTIF(Plante!$F$2:$F$66,$A15)</f>
        <v/>
      </c>
      <c r="C15" s="5">
        <f>SUMIF(Plante!$F$2:$F$66,$A15,Plante!$E$2:$E$66)</f>
        <v/>
      </c>
      <c r="D15" s="12">
        <f>IFERROR($C15/$C$16,0)</f>
        <v/>
      </c>
      <c r="E15" s="5">
        <f>SUMIF(Plante!$F$2:$F$66,$A15,Plante!$K$2:$K$66)</f>
        <v/>
      </c>
    </row>
    <row r="16">
      <c r="A16" s="13" t="inlineStr">
        <is>
          <t>Total</t>
        </is>
      </c>
      <c r="B16" s="14">
        <f>SUM(B13:B15)</f>
        <v/>
      </c>
      <c r="C16" s="14">
        <f>SUM(C13:C15)</f>
        <v/>
      </c>
      <c r="D16" s="15">
        <f>IFERROR($C16/$C16,0)</f>
        <v/>
      </c>
      <c r="E16" s="14">
        <f>SUM(E13:E15)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8" customWidth="1" min="1" max="1"/>
    <col width="44" customWidth="1" min="2" max="2"/>
    <col width="20" customWidth="1" min="3" max="3"/>
    <col width="9" customWidth="1" min="4" max="4"/>
    <col width="16" customWidth="1" min="5" max="5"/>
    <col width="20" customWidth="1" min="6" max="6"/>
    <col width="13" customWidth="1" min="7" max="7"/>
    <col width="20" customWidth="1" min="8" max="8"/>
  </cols>
  <sheetData>
    <row r="1">
      <c r="A1" s="10" t="inlineStr">
        <is>
          <t>Zone de irigare prin picurare</t>
        </is>
      </c>
    </row>
    <row r="2">
      <c r="A2" s="16" t="inlineStr">
        <is>
          <t>Dozele sunt cele de vară, pentru plante intrate pe rod. Vezi fila Note pentru regimul din primii doi ani.</t>
        </is>
      </c>
    </row>
    <row r="4" ht="30" customHeight="1">
      <c r="A4" s="1" t="inlineStr">
        <is>
          <t>Zonă</t>
        </is>
      </c>
      <c r="B4" s="1" t="inlineStr">
        <is>
          <t>Descriere</t>
        </is>
      </c>
      <c r="C4" s="1" t="inlineStr">
        <is>
          <t>Tub · lungime</t>
        </is>
      </c>
      <c r="D4" s="1" t="inlineStr">
        <is>
          <t>Specii</t>
        </is>
      </c>
      <c r="E4" s="1" t="inlineStr">
        <is>
          <t>Cantitate (buc.)</t>
        </is>
      </c>
      <c r="F4" s="1" t="inlineStr">
        <is>
          <t>Consum la o udare (l)</t>
        </is>
      </c>
      <c r="G4" s="1" t="inlineStr">
        <is>
          <t>Udări/săpt.</t>
        </is>
      </c>
      <c r="H4" s="1" t="inlineStr">
        <is>
          <t>Consum săptămânal (l)</t>
        </is>
      </c>
    </row>
    <row r="5">
      <c r="A5" s="17" t="inlineStr">
        <is>
          <t>A</t>
        </is>
      </c>
      <c r="B5" s="11" t="inlineStr">
        <is>
          <t>Aromatice și specii rezistente la secetă</t>
        </is>
      </c>
      <c r="C5" s="11" t="inlineStr">
        <is>
          <t>T6 · 100 m</t>
        </is>
      </c>
      <c r="D5" s="5">
        <f>COUNTIF(Plante!$H$2:$H$66,$A5)</f>
        <v/>
      </c>
      <c r="E5" s="5">
        <f>SUMIF(Plante!$H$2:$H$66,$A5,Plante!$E$2:$E$66)</f>
        <v/>
      </c>
      <c r="F5" s="5">
        <f>SUMPRODUCT((Plante!$H$2:$H$66=$A5)*Plante!$E$2:$E$66*Plante!$I$2:$I$66)</f>
        <v/>
      </c>
      <c r="G5" s="5">
        <f>IFERROR(ROUND($H5/$F5,0),0)</f>
        <v/>
      </c>
      <c r="H5" s="5">
        <f>SUMIF(Plante!$H$2:$H$66,$A5,Plante!$K$2:$K$66)</f>
        <v/>
      </c>
    </row>
    <row r="6">
      <c r="A6" s="17" t="inlineStr">
        <is>
          <t>B</t>
        </is>
      </c>
      <c r="B6" s="11" t="inlineStr">
        <is>
          <t>Garduri vii — lemn câinesc, photinia, sălcioară</t>
        </is>
      </c>
      <c r="C6" s="11" t="inlineStr">
        <is>
          <t>T1+T3 · 200+150 m</t>
        </is>
      </c>
      <c r="D6" s="5">
        <f>COUNTIF(Plante!$H$2:$H$66,$A6)</f>
        <v/>
      </c>
      <c r="E6" s="5">
        <f>SUMIF(Plante!$H$2:$H$66,$A6,Plante!$E$2:$E$66)</f>
        <v/>
      </c>
      <c r="F6" s="5">
        <f>SUMPRODUCT((Plante!$H$2:$H$66=$A6)*Plante!$E$2:$E$66*Plante!$I$2:$I$66)</f>
        <v/>
      </c>
      <c r="G6" s="5">
        <f>IFERROR(ROUND($H6/$F6,0),0)</f>
        <v/>
      </c>
      <c r="H6" s="5">
        <f>SUMIF(Plante!$H$2:$H$66,$A6,Plante!$K$2:$K$66)</f>
        <v/>
      </c>
    </row>
    <row r="7">
      <c r="A7" s="17" t="inlineStr">
        <is>
          <t>C</t>
        </is>
      </c>
      <c r="B7" s="11" t="inlineStr">
        <is>
          <t>Arbuști ornamentali</t>
        </is>
      </c>
      <c r="C7" s="11" t="inlineStr">
        <is>
          <t>T4 · 150 m</t>
        </is>
      </c>
      <c r="D7" s="5">
        <f>COUNTIF(Plante!$H$2:$H$66,$A7)</f>
        <v/>
      </c>
      <c r="E7" s="5">
        <f>SUMIF(Plante!$H$2:$H$66,$A7,Plante!$E$2:$E$66)</f>
        <v/>
      </c>
      <c r="F7" s="5">
        <f>SUMPRODUCT((Plante!$H$2:$H$66=$A7)*Plante!$E$2:$E$66*Plante!$I$2:$I$66)</f>
        <v/>
      </c>
      <c r="G7" s="5">
        <f>IFERROR(ROUND($H7/$F7,0),0)</f>
        <v/>
      </c>
      <c r="H7" s="5">
        <f>SUMIF(Plante!$H$2:$H$66,$A7,Plante!$K$2:$K$66)</f>
        <v/>
      </c>
    </row>
    <row r="8">
      <c r="A8" s="17" t="inlineStr">
        <is>
          <t>D</t>
        </is>
      </c>
      <c r="B8" s="11" t="inlineStr">
        <is>
          <t>Arbori mari</t>
        </is>
      </c>
      <c r="C8" s="11" t="inlineStr">
        <is>
          <t>T2 · 180 m</t>
        </is>
      </c>
      <c r="D8" s="5">
        <f>COUNTIF(Plante!$H$2:$H$66,$A8)</f>
        <v/>
      </c>
      <c r="E8" s="5">
        <f>SUMIF(Plante!$H$2:$H$66,$A8,Plante!$E$2:$E$66)</f>
        <v/>
      </c>
      <c r="F8" s="5">
        <f>SUMPRODUCT((Plante!$H$2:$H$66=$A8)*Plante!$E$2:$E$66*Plante!$I$2:$I$66)</f>
        <v/>
      </c>
      <c r="G8" s="5">
        <f>IFERROR(ROUND($H8/$F8,0),0)</f>
        <v/>
      </c>
      <c r="H8" s="5">
        <f>SUMIF(Plante!$H$2:$H$66,$A8,Plante!$K$2:$K$66)</f>
        <v/>
      </c>
    </row>
    <row r="9">
      <c r="A9" s="17" t="inlineStr">
        <is>
          <t>E</t>
        </is>
      </c>
      <c r="B9" s="11" t="inlineStr">
        <is>
          <t>Fructiferi și viță de vie</t>
        </is>
      </c>
      <c r="C9" s="11" t="inlineStr">
        <is>
          <t>T5 · 120 m</t>
        </is>
      </c>
      <c r="D9" s="5">
        <f>COUNTIF(Plante!$H$2:$H$66,$A9)</f>
        <v/>
      </c>
      <c r="E9" s="5">
        <f>SUMIF(Plante!$H$2:$H$66,$A9,Plante!$E$2:$E$66)</f>
        <v/>
      </c>
      <c r="F9" s="5">
        <f>SUMPRODUCT((Plante!$H$2:$H$66=$A9)*Plante!$E$2:$E$66*Plante!$I$2:$I$66)</f>
        <v/>
      </c>
      <c r="G9" s="5">
        <f>IFERROR(ROUND($H9/$F9,0),0)</f>
        <v/>
      </c>
      <c r="H9" s="5">
        <f>SUMIF(Plante!$H$2:$H$66,$A9,Plante!$K$2:$K$66)</f>
        <v/>
      </c>
    </row>
    <row r="10">
      <c r="A10" s="17" t="inlineStr">
        <is>
          <t>F</t>
        </is>
      </c>
      <c r="B10" s="11" t="inlineStr">
        <is>
          <t>Fructe mici — coacăze, corn, alun</t>
        </is>
      </c>
      <c r="C10" s="11" t="inlineStr">
        <is>
          <t>T6 extins · 100 m</t>
        </is>
      </c>
      <c r="D10" s="5">
        <f>COUNTIF(Plante!$H$2:$H$66,$A10)</f>
        <v/>
      </c>
      <c r="E10" s="5">
        <f>SUMIF(Plante!$H$2:$H$66,$A10,Plante!$E$2:$E$66)</f>
        <v/>
      </c>
      <c r="F10" s="5">
        <f>SUMPRODUCT((Plante!$H$2:$H$66=$A10)*Plante!$E$2:$E$66*Plante!$I$2:$I$66)</f>
        <v/>
      </c>
      <c r="G10" s="5">
        <f>IFERROR(ROUND($H10/$F10,0),0)</f>
        <v/>
      </c>
      <c r="H10" s="5">
        <f>SUMIF(Plante!$H$2:$H$66,$A10,Plante!$K$2:$K$66)</f>
        <v/>
      </c>
    </row>
    <row r="11">
      <c r="A11" s="17" t="inlineStr">
        <is>
          <t>X</t>
        </is>
      </c>
      <c r="B11" s="11" t="inlineStr">
        <is>
          <t>Ulmi și pini, în perioada de stabilire</t>
        </is>
      </c>
      <c r="C11" s="11" t="inlineStr">
        <is>
          <t>rotație, separat</t>
        </is>
      </c>
      <c r="D11" s="5">
        <f>COUNTIF(Plante!$H$2:$H$66,$A11)</f>
        <v/>
      </c>
      <c r="E11" s="5">
        <f>SUMIF(Plante!$H$2:$H$66,$A11,Plante!$E$2:$E$66)</f>
        <v/>
      </c>
      <c r="F11" s="5">
        <f>SUMPRODUCT((Plante!$H$2:$H$66=$A11)*Plante!$E$2:$E$66*Plante!$I$2:$I$66)</f>
        <v/>
      </c>
      <c r="G11" s="5">
        <f>IFERROR(ROUND($H11/$F11,0),0)</f>
        <v/>
      </c>
      <c r="H11" s="5">
        <f>SUMIF(Plante!$H$2:$H$66,$A11,Plante!$K$2:$K$66)</f>
        <v/>
      </c>
    </row>
    <row r="12">
      <c r="A12" s="13" t="inlineStr">
        <is>
          <t>Total</t>
        </is>
      </c>
      <c r="B12" s="13" t="n"/>
      <c r="C12" s="13" t="n"/>
      <c r="D12" s="14">
        <f>SUM(D5:D11)</f>
        <v/>
      </c>
      <c r="E12" s="14">
        <f>SUM(E5:E11)</f>
        <v/>
      </c>
      <c r="F12" s="14">
        <f>SUM(F5:F11)</f>
        <v/>
      </c>
      <c r="G12" s="14" t="n"/>
      <c r="H12" s="14">
        <f>SUM(H5:H11)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8" customWidth="1" min="1" max="1"/>
  </cols>
  <sheetData>
    <row r="1">
      <c r="A1" s="18" t="inlineStr">
        <is>
          <t>Plante și cantități — amenajare Crucea, județul Constanța</t>
        </is>
      </c>
    </row>
    <row r="2">
      <c r="A2" s="19" t="inlineStr"/>
    </row>
    <row r="3">
      <c r="A3" s="20" t="inlineStr">
        <is>
          <t>Ce conține</t>
        </is>
      </c>
    </row>
    <row r="4" ht="45" customHeight="1">
      <c r="A4" s="19" t="inlineStr">
        <is>
          <t>Fila „Plante" listează toate speciile din proiect, cu cantitatea de plantat. Filele „Sinteză" și „Irigare pe zone" nu conțin date proprii: totalurile lor sunt formule peste fila „Plante", deci se actualizează singure dacă modifici o cantitate.</t>
        </is>
      </c>
    </row>
    <row r="5">
      <c r="A5" s="19" t="inlineStr"/>
    </row>
    <row r="6">
      <c r="A6" s="20" t="inlineStr">
        <is>
          <t>De unde vin cantitățile</t>
        </is>
      </c>
    </row>
    <row r="7" ht="45" customHeight="1">
      <c r="A7" s="19" t="inlineStr">
        <is>
          <t>Coloana „Cantitate (buc.)" e preluată din legenda planului peisager (fișierul DWG), aceeași sursă folosită și de planul de irigare din proiect. Coloana „Puncte marcate pe plan" arată câte simboluri are specia în pozitie.json, fișierul care alimentează planul interactiv.</t>
        </is>
      </c>
    </row>
    <row r="8" ht="60" customHeight="1">
      <c r="A8" s="19" t="inlineStr">
        <is>
          <t>Pentru 59 din cele 65 de specii, cele două coloane coincid. Cele 6 diferențe sunt explicate în coloana „Observații" și au două cauze: aliniamentele și gardurile vii sunt desenate ca linii continue, nu ca simbol pentru fiecare exemplar (ulm, lemn câinesc, photinia, viță de vie), iar la pinul negru și călin numărul de simboluri diferă cu unu față de legendă — de verificat la trasarea în teren.</t>
        </is>
      </c>
    </row>
    <row r="9">
      <c r="A9" s="19" t="inlineStr"/>
    </row>
    <row r="10">
      <c r="A10" s="20" t="inlineStr">
        <is>
          <t>Udarea</t>
        </is>
      </c>
    </row>
    <row r="11" ht="30" customHeight="1">
      <c r="A11" s="19" t="inlineStr">
        <is>
          <t>Doza și frecvența sunt cele de vară, pentru plante intrate pe rod, exact ca în planul de irigare prin picurare. „Consum săptămânal vara" = cantitate × doză × frecvență.</t>
        </is>
      </c>
    </row>
    <row r="12" ht="45" customHeight="1">
      <c r="A12" s="19" t="inlineStr">
        <is>
          <t>În primii doi ani, cât rădăcina e mică, regimul e mai generos: în anul 1 doza crește cu 50 % și se adaugă o udare pe săptămână, în anul 2 doza crește cu 25 % la aceeași frecvență. Primăvara și toamna se udă la jumătate din frecvență; iarna nu se udă.</t>
        </is>
      </c>
    </row>
    <row r="13">
      <c r="A13" s="19" t="inlineStr"/>
    </row>
    <row r="14">
      <c r="A14" s="20" t="inlineStr">
        <is>
          <t>Ce este estimare și ce nu</t>
        </is>
      </c>
    </row>
    <row r="15" ht="45" customHeight="1">
      <c r="A15" s="19" t="inlineStr">
        <is>
          <t>Cantitățile, dozele de udare și zonele de irigare vin din proiect. Înălțimea la maturitate și cerința de lumină sunt estimări pentru material de pepinieră obișnuit în clima Dobrogei, nu măsurători — la fel ca în fișele de plantă din planul interactiv.</t>
        </is>
      </c>
    </row>
    <row r="16">
      <c r="A16" s="19" t="inlineStr"/>
    </row>
    <row r="17">
      <c r="A17" s="20" t="inlineStr">
        <is>
          <t>Surse</t>
        </is>
      </c>
    </row>
    <row r="18" ht="30" customHeight="1">
      <c r="A18" s="19" t="inlineStr">
        <is>
          <t>Legenda planului peisager (DWG) · time-lapse/pozitie.json · resurse/irigare_plan.html · time-lapse/plan-amenajare.html (înălțimi, lumină)</t>
        </is>
      </c>
    </row>
    <row r="19">
      <c r="A19" s="19" t="inlineStr">
        <is>
          <t>Proiect: https://bit.ly/vialunga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2026-09-24T15:47:36Z</dcterms:created>
  <dcterms:modified xsi:type="dcterms:W3CDTF">2026-09-24T15:47:36Z</dcterms:modified>
</cp:coreProperties>
</file>