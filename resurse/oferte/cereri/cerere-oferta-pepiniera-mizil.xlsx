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erere de ofertă" sheetId="1" state="visible" r:id="rId1"/>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sz val="14"/>
    </font>
    <font>
      <b val="1"/>
      <sz val="11"/>
    </font>
    <font>
      <b val="1"/>
    </font>
    <font>
      <i val="1"/>
    </font>
  </fonts>
  <fills count="3">
    <fill>
      <patternFill/>
    </fill>
    <fill>
      <patternFill patternType="gray125"/>
    </fill>
    <fill>
      <patternFill patternType="solid">
        <fgColor rgb="00DDEBD5"/>
      </patternFill>
    </fill>
  </fills>
  <borders count="2">
    <border>
      <left/>
      <right/>
      <top/>
      <bottom/>
      <diagonal/>
    </border>
    <border>
      <left style="thin">
        <color rgb="00999999"/>
      </left>
      <right style="thin">
        <color rgb="00999999"/>
      </right>
      <top style="thin">
        <color rgb="00999999"/>
      </top>
      <bottom style="thin">
        <color rgb="00999999"/>
      </bottom>
    </border>
  </borders>
  <cellStyleXfs count="1">
    <xf numFmtId="0" fontId="0" fillId="0" borderId="0"/>
  </cellStyleXfs>
  <cellXfs count="8">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2" borderId="1" applyAlignment="1" pivotButton="0" quotePrefix="0" xfId="0">
      <alignment vertical="center" wrapText="1"/>
    </xf>
    <xf numFmtId="0" fontId="0" fillId="0" borderId="1" applyAlignment="1" pivotButton="0" quotePrefix="0" xfId="0">
      <alignment vertical="top" wrapText="1"/>
    </xf>
    <xf numFmtId="0" fontId="4" fillId="0" borderId="1" applyAlignment="1" pivotButton="0" quotePrefix="0" xfId="0">
      <alignment vertical="top" wrapText="1"/>
    </xf>
    <xf numFmtId="0" fontId="3"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H26"/>
  <sheetViews>
    <sheetView workbookViewId="0">
      <selection activeCell="A1" sqref="A1"/>
    </sheetView>
  </sheetViews>
  <sheetFormatPr baseColWidth="8" defaultRowHeight="15"/>
  <cols>
    <col width="5" customWidth="1" min="1" max="1"/>
    <col width="30" customWidth="1" min="2" max="2"/>
    <col width="30" customWidth="1" min="3" max="3"/>
    <col width="14" customWidth="1" min="4" max="4"/>
    <col width="34" customWidth="1" min="5" max="5"/>
    <col width="18" customWidth="1" min="6" max="6"/>
    <col width="12" customWidth="1" min="7" max="7"/>
    <col width="40" customWidth="1" min="8" max="8"/>
  </cols>
  <sheetData>
    <row r="1">
      <c r="A1" s="1" t="inlineStr">
        <is>
          <t>CERERE DE OFERTĂ — PUIEȚI</t>
        </is>
      </c>
    </row>
    <row r="2">
      <c r="A2" s="2" t="inlineStr">
        <is>
          <t>Către: Pepiniera Mizil — Prahova (magazin online)</t>
        </is>
      </c>
    </row>
    <row r="3">
      <c r="A3" t="inlineStr">
        <is>
          <t>De la: George Șerban · telefon: 0765468714 · e-mail: george357ro@gmail.com</t>
        </is>
      </c>
    </row>
    <row r="4">
      <c r="A4" t="inlineStr">
        <is>
          <t>Data cererii: 6 octombrie 2026</t>
        </is>
      </c>
    </row>
    <row r="6" ht="30" customHeight="1">
      <c r="A6" s="3" t="inlineStr">
        <is>
          <t>Vă rugăm să ne transmiteți preț unitar, disponibilitate și condiții de livrare pentru puieții de mai jos.</t>
        </is>
      </c>
    </row>
    <row r="7" ht="30" customHeight="1">
      <c r="A7" s="3" t="inlineStr">
        <is>
          <t>Destinația: Crucea, județul Constanța. Perioada dorită de livrare sau ridicare: 16–22 noiembrie 2026 (după căderea frunzei).</t>
        </is>
      </c>
    </row>
    <row r="8" ht="30" customHeight="1">
      <c r="A8" s="3" t="inlineStr">
        <is>
          <t>Mărimea dorită: puieți mici, de 1–2 ani, 30–80 cm, rădăcină nudă sau ghiveci de 1–2 l (pinul negru numai în ghiveci sau cu balot). Ambalare cu rădăcinile în saci umezi.</t>
        </is>
      </c>
    </row>
    <row r="10">
      <c r="A10" s="4" t="inlineStr">
        <is>
          <t>Nr.</t>
        </is>
      </c>
      <c r="B10" s="4" t="inlineStr">
        <is>
          <t>Specie</t>
        </is>
      </c>
      <c r="C10" s="4" t="inlineStr">
        <is>
          <t>Nume latin</t>
        </is>
      </c>
      <c r="D10" s="4" t="inlineStr">
        <is>
          <t>Cantitate (buc.)</t>
        </is>
      </c>
      <c r="E10" s="4" t="inlineStr">
        <is>
          <t>Mărime / tip</t>
        </is>
      </c>
      <c r="F10" s="4" t="inlineStr">
        <is>
          <t>Preț unitar (lei, fără TVA)</t>
        </is>
      </c>
      <c r="G10" s="4" t="inlineStr">
        <is>
          <t>Total (lei)</t>
        </is>
      </c>
      <c r="H10" s="4" t="inlineStr">
        <is>
          <t>Disponibilitate / observații furnizor</t>
        </is>
      </c>
    </row>
    <row r="11">
      <c r="A11" s="5" t="n">
        <v>1</v>
      </c>
      <c r="B11" s="5" t="inlineStr">
        <is>
          <t>Sorb</t>
        </is>
      </c>
      <c r="C11" s="6" t="inlineStr">
        <is>
          <t>Sorbus torminalis</t>
        </is>
      </c>
      <c r="D11" s="5" t="n">
        <v>13</v>
      </c>
      <c r="E11" s="5" t="inlineStr">
        <is>
          <t>1–2 ani, 30–80 cm, rădăcină nudă sau ghiveci 1–2 l</t>
        </is>
      </c>
      <c r="F11" s="5" t="n"/>
      <c r="G11" s="5">
        <f>D11*F11</f>
        <v/>
      </c>
      <c r="H11" s="5" t="n"/>
    </row>
    <row r="12">
      <c r="A12" s="5" t="n">
        <v>2</v>
      </c>
      <c r="B12" s="5" t="inlineStr">
        <is>
          <t>Păr sălbatic</t>
        </is>
      </c>
      <c r="C12" s="6" t="inlineStr">
        <is>
          <t>Pyrus pyraster</t>
        </is>
      </c>
      <c r="D12" s="5" t="n">
        <v>25</v>
      </c>
      <c r="E12" s="5" t="inlineStr">
        <is>
          <t>1–2 ani, 30–80 cm, rădăcină nudă sau ghiveci 1–2 l</t>
        </is>
      </c>
      <c r="F12" s="5" t="n"/>
      <c r="G12" s="5">
        <f>D12*F12</f>
        <v/>
      </c>
      <c r="H12" s="5" t="n"/>
    </row>
    <row r="13">
      <c r="A13" s="5" t="n">
        <v>3</v>
      </c>
      <c r="B13" s="5" t="inlineStr">
        <is>
          <t>Cireș sălbatic</t>
        </is>
      </c>
      <c r="C13" s="6" t="inlineStr">
        <is>
          <t>Prunus avium</t>
        </is>
      </c>
      <c r="D13" s="5" t="n">
        <v>13</v>
      </c>
      <c r="E13" s="5" t="inlineStr">
        <is>
          <t>1–2 ani, 30–80 cm, rădăcină nudă sau ghiveci 1–2 l</t>
        </is>
      </c>
      <c r="F13" s="5" t="n"/>
      <c r="G13" s="5">
        <f>D13*F13</f>
        <v/>
      </c>
      <c r="H13" s="5" t="n"/>
    </row>
    <row r="14">
      <c r="A14" s="5" t="n">
        <v>4</v>
      </c>
      <c r="B14" s="5" t="inlineStr">
        <is>
          <t>Corn</t>
        </is>
      </c>
      <c r="C14" s="6" t="inlineStr">
        <is>
          <t>Cornus mas</t>
        </is>
      </c>
      <c r="D14" s="5" t="n">
        <v>57</v>
      </c>
      <c r="E14" s="5" t="inlineStr">
        <is>
          <t>1–2 ani, 30–80 cm, rădăcină nudă sau ghiveci 1–2 l</t>
        </is>
      </c>
      <c r="F14" s="5" t="n"/>
      <c r="G14" s="5">
        <f>D14*F14</f>
        <v/>
      </c>
      <c r="H14" s="5" t="n"/>
    </row>
    <row r="15">
      <c r="A15" s="5" t="n">
        <v>5</v>
      </c>
      <c r="B15" s="5" t="inlineStr">
        <is>
          <t>Alun</t>
        </is>
      </c>
      <c r="C15" s="6" t="inlineStr">
        <is>
          <t>Corylus avellana</t>
        </is>
      </c>
      <c r="D15" s="5" t="n">
        <v>38</v>
      </c>
      <c r="E15" s="5" t="inlineStr">
        <is>
          <t>1–2 ani, 30–80 cm, rădăcină nudă sau ghiveci 1–2 l</t>
        </is>
      </c>
      <c r="F15" s="5" t="n"/>
      <c r="G15" s="5">
        <f>D15*F15</f>
        <v/>
      </c>
      <c r="H15" s="5" t="n"/>
    </row>
    <row r="16">
      <c r="A16" s="5" t="n">
        <v>6</v>
      </c>
      <c r="B16" s="5" t="inlineStr">
        <is>
          <t>Porumbar</t>
        </is>
      </c>
      <c r="C16" s="6" t="inlineStr">
        <is>
          <t>Prunus spinosa</t>
        </is>
      </c>
      <c r="D16" s="5" t="n">
        <v>57</v>
      </c>
      <c r="E16" s="5" t="inlineStr">
        <is>
          <t>1–2 ani, 30–80 cm, rădăcină nudă sau ghiveci 1–2 l</t>
        </is>
      </c>
      <c r="F16" s="5" t="n"/>
      <c r="G16" s="5">
        <f>D16*F16</f>
        <v/>
      </c>
      <c r="H16" s="5" t="n"/>
    </row>
    <row r="17">
      <c r="A17" s="5" t="n">
        <v>7</v>
      </c>
      <c r="B17" s="5" t="inlineStr">
        <is>
          <t>Dârmox</t>
        </is>
      </c>
      <c r="C17" s="6" t="inlineStr">
        <is>
          <t>Viburnum lantana</t>
        </is>
      </c>
      <c r="D17" s="5" t="n">
        <v>50</v>
      </c>
      <c r="E17" s="5" t="inlineStr">
        <is>
          <t>1–2 ani, 30–80 cm, rădăcină nudă sau ghiveci 1–2 l</t>
        </is>
      </c>
      <c r="F17" s="5" t="n"/>
      <c r="G17" s="5">
        <f>D17*F17</f>
        <v/>
      </c>
      <c r="H17" s="5" t="n"/>
    </row>
    <row r="18">
      <c r="A18" s="5" t="n">
        <v>8</v>
      </c>
      <c r="B18" s="5" t="inlineStr">
        <is>
          <t>Salbă moale</t>
        </is>
      </c>
      <c r="C18" s="6" t="inlineStr">
        <is>
          <t>Euonymus europaeus</t>
        </is>
      </c>
      <c r="D18" s="5" t="n">
        <v>31</v>
      </c>
      <c r="E18" s="5" t="inlineStr">
        <is>
          <t>1–2 ani, 30–80 cm, rădăcină nudă sau ghiveci 1–2 l</t>
        </is>
      </c>
      <c r="F18" s="5" t="n"/>
      <c r="G18" s="5">
        <f>D18*F18</f>
        <v/>
      </c>
      <c r="H18" s="5" t="n"/>
    </row>
    <row r="19">
      <c r="A19" s="5" t="n">
        <v>9</v>
      </c>
      <c r="B19" s="5" t="inlineStr">
        <is>
          <t>Călin</t>
        </is>
      </c>
      <c r="C19" s="6" t="inlineStr">
        <is>
          <t>Viburnum opulus</t>
        </is>
      </c>
      <c r="D19" s="5" t="n">
        <v>19</v>
      </c>
      <c r="E19" s="5" t="inlineStr">
        <is>
          <t>1–2 ani, 30–80 cm, rădăcină nudă sau ghiveci 1–2 l</t>
        </is>
      </c>
      <c r="F19" s="5" t="n"/>
      <c r="G19" s="5">
        <f>D19*F19</f>
        <v/>
      </c>
      <c r="H19" s="5" t="n"/>
    </row>
    <row r="20">
      <c r="A20" s="5" t="n">
        <v>10</v>
      </c>
      <c r="B20" s="5" t="inlineStr">
        <is>
          <t>Soc</t>
        </is>
      </c>
      <c r="C20" s="6" t="inlineStr">
        <is>
          <t>Sambucus nigra</t>
        </is>
      </c>
      <c r="D20" s="5" t="n">
        <v>19</v>
      </c>
      <c r="E20" s="5" t="inlineStr">
        <is>
          <t>1–2 ani, 30–80 cm, rădăcină nudă sau ghiveci 1–2 l</t>
        </is>
      </c>
      <c r="F20" s="5" t="n"/>
      <c r="G20" s="5">
        <f>D20*F20</f>
        <v/>
      </c>
      <c r="H20" s="5" t="n"/>
    </row>
    <row r="21">
      <c r="A21" s="5" t="n">
        <v>11</v>
      </c>
      <c r="B21" s="5" t="inlineStr">
        <is>
          <t>Arbore de mazăre</t>
        </is>
      </c>
      <c r="C21" s="6" t="inlineStr">
        <is>
          <t>Caragana arborescens</t>
        </is>
      </c>
      <c r="D21" s="5" t="n">
        <v>25</v>
      </c>
      <c r="E21" s="5" t="inlineStr">
        <is>
          <t>1–2 ani, 30–80 cm, rădăcină nudă sau ghiveci 1–2 l</t>
        </is>
      </c>
      <c r="F21" s="5" t="n"/>
      <c r="G21" s="5">
        <f>D21*F21</f>
        <v/>
      </c>
      <c r="H21" s="5" t="n"/>
    </row>
    <row r="22">
      <c r="A22" s="5" t="n">
        <v>12</v>
      </c>
      <c r="B22" s="5" t="inlineStr">
        <is>
          <t>Pin negru</t>
        </is>
      </c>
      <c r="C22" s="6" t="inlineStr">
        <is>
          <t>Pinus nigra</t>
        </is>
      </c>
      <c r="D22" s="5" t="n">
        <v>38</v>
      </c>
      <c r="E22" s="5" t="inlineStr">
        <is>
          <t>ghiveci 2–3 l sau balot, 30–60 cm</t>
        </is>
      </c>
      <c r="F22" s="5" t="n"/>
      <c r="G22" s="5">
        <f>D22*F22</f>
        <v/>
      </c>
      <c r="H22" s="5" t="n"/>
    </row>
    <row r="23">
      <c r="A23" s="7" t="inlineStr"/>
      <c r="B23" s="7" t="inlineStr">
        <is>
          <t>TOTAL</t>
        </is>
      </c>
      <c r="C23" s="7" t="inlineStr"/>
      <c r="D23" s="7">
        <f>SUM(D11:D22)</f>
        <v/>
      </c>
      <c r="E23" s="7" t="inlineStr"/>
      <c r="F23" s="7" t="inlineStr"/>
      <c r="G23" s="7">
        <f>SUM(G11:G22)</f>
        <v/>
      </c>
      <c r="H23" s="7" t="inlineStr"/>
    </row>
    <row r="25" ht="45" customHeight="1">
      <c r="A25" s="3" t="inlineStr">
        <is>
          <t>Vă rugăm să precizați: costul transportului la Crucea sau adresa de ridicare, termenul de valabilitate al ofertei, dacă puteți rezerva cantitățile până la confirmare, și eventualele specii pe care nu le aveți (cu propuneri de înlocuire).</t>
        </is>
      </c>
    </row>
    <row r="26">
      <c r="A26" t="inlineStr">
        <is>
          <t>Vă mulțumim.</t>
        </is>
      </c>
    </row>
  </sheetData>
  <mergeCells count="4">
    <mergeCell ref="A7:H7"/>
    <mergeCell ref="A25:H25"/>
    <mergeCell ref="A8:H8"/>
    <mergeCell ref="A6:H6"/>
  </mergeCells>
  <pageMargins left="0.75" right="0.75" top="1" bottom="1" header="0.5" footer="0.5"/>
  <pageSetup orientation="landscape"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2026-10-06T11:31:58Z</dcterms:created>
  <dcterms:modified xsi:type="dcterms:W3CDTF">2026-10-06T11:31:58Z</dcterms:modified>
</cp:coreProperties>
</file>